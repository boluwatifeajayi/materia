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Revenue" sheetId="2" state="visible" r:id="rId2"/>
    <sheet name="Costs" sheetId="3" state="visible" r:id="rId3"/>
    <sheet name="P&amp;L" sheetId="4" state="visible" r:id="rId4"/>
    <sheet name="Valua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Assumptions</t>
        </is>
      </c>
    </row>
    <row r="3">
      <c r="A3" t="inlineStr">
        <is>
          <t>Revenue drivers</t>
        </is>
      </c>
    </row>
    <row r="4">
      <c r="A4" t="inlineStr">
        <is>
          <t>Opening customers</t>
        </is>
      </c>
      <c r="B4" t="n">
        <v>7200</v>
      </c>
    </row>
    <row r="5">
      <c r="A5" t="inlineStr">
        <is>
          <t>Monthly new customer rate</t>
        </is>
      </c>
      <c r="B5" t="n">
        <v>0.0585</v>
      </c>
    </row>
    <row r="6">
      <c r="A6" t="inlineStr">
        <is>
          <t>Monthly churn rate</t>
        </is>
      </c>
      <c r="B6" t="n">
        <v>0.0211</v>
      </c>
    </row>
    <row r="7">
      <c r="A7" t="inlineStr">
        <is>
          <t>Opening ARPU</t>
        </is>
      </c>
      <c r="B7" t="n">
        <v>70.45999999999999</v>
      </c>
    </row>
    <row r="8">
      <c r="A8" t="inlineStr">
        <is>
          <t>Monthly ARPU uplift</t>
        </is>
      </c>
      <c r="B8" t="n">
        <v>0.0036</v>
      </c>
    </row>
    <row r="10">
      <c r="A10" t="inlineStr">
        <is>
          <t>Cost drivers</t>
        </is>
      </c>
    </row>
    <row r="11">
      <c r="A11" t="inlineStr">
        <is>
          <t>COGS as share of revenue</t>
        </is>
      </c>
      <c r="B11" t="n">
        <v>0.2568</v>
      </c>
    </row>
    <row r="12">
      <c r="A12" t="inlineStr">
        <is>
          <t>Opening headcount</t>
        </is>
      </c>
      <c r="B12" t="n">
        <v>14</v>
      </c>
    </row>
    <row r="13">
      <c r="A13" t="inlineStr">
        <is>
          <t>New hires per month</t>
        </is>
      </c>
      <c r="B13" t="n">
        <v>2</v>
      </c>
    </row>
    <row r="14">
      <c r="A14" t="inlineStr">
        <is>
          <t>Average salary</t>
        </is>
      </c>
      <c r="B14" t="n">
        <v>60000</v>
      </c>
    </row>
    <row r="15">
      <c r="A15" t="inlineStr">
        <is>
          <t>Payroll tax rate</t>
        </is>
      </c>
      <c r="B15" t="n">
        <v>0.1019</v>
      </c>
    </row>
    <row r="16">
      <c r="A16" t="inlineStr">
        <is>
          <t>Marketing as share of revenue</t>
        </is>
      </c>
      <c r="B16" t="n">
        <v>0.1201</v>
      </c>
    </row>
    <row r="17">
      <c r="A17" t="inlineStr">
        <is>
          <t>Monthly overhead</t>
        </is>
      </c>
      <c r="B17" t="n">
        <v>25500</v>
      </c>
    </row>
    <row r="18">
      <c r="A18" t="inlineStr">
        <is>
          <t>Monthly overhead inflation</t>
        </is>
      </c>
      <c r="B18" t="n">
        <v>0.0066</v>
      </c>
    </row>
    <row r="20">
      <c r="A20" t="inlineStr">
        <is>
          <t>Valuation drivers</t>
        </is>
      </c>
    </row>
    <row r="21">
      <c r="A21" t="inlineStr">
        <is>
          <t>EBITDA multiple</t>
        </is>
      </c>
      <c r="B21" t="n">
        <v>12.5</v>
      </c>
    </row>
    <row r="22">
      <c r="A22" t="inlineStr">
        <is>
          <t>Net debt</t>
        </is>
      </c>
      <c r="B22" t="n">
        <v>1950000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Revenue build</t>
        </is>
      </c>
    </row>
    <row r="3">
      <c r="A3" t="inlineStr">
        <is>
          <t>Month</t>
        </is>
      </c>
      <c r="C3" t="n">
        <v>1</v>
      </c>
      <c r="D3">
        <f>C3+1</f>
        <v>2.0</v>
      </c>
      <c r="E3">
        <f>D3+1</f>
        <v>3.0</v>
      </c>
      <c r="F3">
        <f>E3+1</f>
        <v>4.0</v>
      </c>
      <c r="G3">
        <f>F3+1</f>
        <v>5.0</v>
      </c>
      <c r="H3">
        <f>G3+1</f>
        <v>6.0</v>
      </c>
      <c r="I3">
        <f>H3+1</f>
        <v>7.0</v>
      </c>
      <c r="J3">
        <f>I3+1</f>
        <v>8.0</v>
      </c>
      <c r="K3">
        <f>J3+1</f>
        <v>9.0</v>
      </c>
      <c r="L3">
        <f>K3+1</f>
        <v>10.0</v>
      </c>
      <c r="M3">
        <f>L3+1</f>
        <v>11.0</v>
      </c>
      <c r="N3">
        <f>M3+1</f>
        <v>12.0</v>
      </c>
      <c r="O3">
        <f>N3+1</f>
        <v>13.0</v>
      </c>
      <c r="P3">
        <f>O3+1</f>
        <v>14.0</v>
      </c>
      <c r="Q3">
        <f>P3+1</f>
        <v>15.0</v>
      </c>
      <c r="R3">
        <f>Q3+1</f>
        <v>16.0</v>
      </c>
      <c r="S3">
        <f>R3+1</f>
        <v>17.0</v>
      </c>
      <c r="T3">
        <f>S3+1</f>
        <v>18.0</v>
      </c>
      <c r="U3">
        <f>T3+1</f>
        <v>19.0</v>
      </c>
      <c r="V3">
        <f>U3+1</f>
        <v>20.0</v>
      </c>
      <c r="W3">
        <f>V3+1</f>
        <v>21.0</v>
      </c>
      <c r="X3">
        <f>W3+1</f>
        <v>22.0</v>
      </c>
      <c r="Y3">
        <f>X3+1</f>
        <v>23.0</v>
      </c>
      <c r="Z3">
        <f>Y3+1</f>
        <v>24.0</v>
      </c>
    </row>
    <row r="5">
      <c r="A5" t="inlineStr">
        <is>
          <t>Opening customers</t>
        </is>
      </c>
      <c r="C5">
        <f>Assumptions!$B$4</f>
        <v>7200.0</v>
      </c>
      <c r="D5">
        <f>C9</f>
        <v>7469.0</v>
      </c>
      <c r="E5">
        <f>D9</f>
        <v>7748.0</v>
      </c>
      <c r="F5">
        <f>E9</f>
        <v>8038.0</v>
      </c>
      <c r="G5">
        <f>F9</f>
        <v>8338.0</v>
      </c>
      <c r="H5">
        <f>G9</f>
        <v>8650.0</v>
      </c>
      <c r="I5">
        <f>G9</f>
        <v>8650.0</v>
      </c>
      <c r="J5">
        <f>I9</f>
        <v>8973.0</v>
      </c>
      <c r="K5">
        <f>J9</f>
        <v>9309.0</v>
      </c>
      <c r="L5">
        <f>K9</f>
        <v>9658.0</v>
      </c>
      <c r="M5">
        <f>L9</f>
        <v>10019.0</v>
      </c>
      <c r="N5">
        <f>M9</f>
        <v>10394.0</v>
      </c>
      <c r="O5">
        <f>N9</f>
        <v>10783.0</v>
      </c>
      <c r="P5">
        <f>O9</f>
        <v>11186.0</v>
      </c>
      <c r="Q5">
        <f>P9</f>
        <v>11604.0</v>
      </c>
      <c r="R5">
        <f>Q9</f>
        <v>12038.0</v>
      </c>
      <c r="S5">
        <f>R9</f>
        <v>12488.0</v>
      </c>
      <c r="T5">
        <f>S9</f>
        <v>12956.0</v>
      </c>
      <c r="U5">
        <f>T9</f>
        <v>13441.0</v>
      </c>
      <c r="V5">
        <f>U9</f>
        <v>13943.0</v>
      </c>
      <c r="W5">
        <f>V9</f>
        <v>14465.0</v>
      </c>
      <c r="X5">
        <f>W9</f>
        <v>15006.0</v>
      </c>
      <c r="Y5">
        <f>X9</f>
        <v>15567.0</v>
      </c>
      <c r="Z5">
        <f>Y9</f>
        <v>16150.0</v>
      </c>
    </row>
    <row r="6">
      <c r="A6" t="inlineStr">
        <is>
          <t>New customers</t>
        </is>
      </c>
      <c r="C6">
        <f>ROUND(C5*Assumptions!$B$5,0)</f>
        <v>421.0</v>
      </c>
      <c r="D6">
        <f>ROUND(D5*Assumptions!$B$5,0)</f>
        <v>437.0</v>
      </c>
      <c r="E6">
        <f>ROUND(E5*Assumptions!$B$5,0)</f>
        <v>453.0</v>
      </c>
      <c r="F6">
        <f>ROUND(F5*Assumptions!$B$5,0)</f>
        <v>470.0</v>
      </c>
      <c r="G6">
        <f>ROUND(G5*Assumptions!$B$5,0)</f>
        <v>488.0</v>
      </c>
      <c r="H6">
        <f>ROUND(H5*Assumptions!$B$5,0)</f>
        <v>506.0</v>
      </c>
      <c r="I6">
        <f>ROUND(I5*Assumptions!$B$5,0)</f>
        <v>506.0</v>
      </c>
      <c r="J6">
        <f>ROUND(J5*Assumptions!$B$5,0)</f>
        <v>525.0</v>
      </c>
      <c r="K6">
        <f>ROUND(K5*Assumptions!$B$5,0)</f>
        <v>545.0</v>
      </c>
      <c r="L6">
        <f>ROUND(L5*Assumptions!$B$5,0)</f>
        <v>565.0</v>
      </c>
      <c r="M6">
        <f>ROUND(M5*Assumptions!$B$5,0)</f>
        <v>586.0</v>
      </c>
      <c r="N6">
        <f>ROUND(N5*Assumptions!$B$5,0)</f>
        <v>608.0</v>
      </c>
      <c r="O6">
        <f>ROUND(O5*Assumptions!$B$5,0)</f>
        <v>631.0</v>
      </c>
      <c r="P6">
        <f>ROUND(P5*Assumptions!$B$5,0)</f>
        <v>654.0</v>
      </c>
      <c r="Q6">
        <f>ROUND(Q5*Assumptions!$B$5,0)</f>
        <v>679.0</v>
      </c>
      <c r="R6">
        <f>ROUND(R5*Assumptions!$B$5,0)</f>
        <v>704.0</v>
      </c>
      <c r="S6">
        <f>ROUND(S5*Assumptions!$B$5,0)</f>
        <v>731.0</v>
      </c>
      <c r="T6">
        <f>ROUND(T5*Assumptions!$B$5,0)</f>
        <v>758.0</v>
      </c>
      <c r="U6">
        <f>ROUND(U5*Assumptions!$B$5,0)</f>
        <v>786.0</v>
      </c>
      <c r="V6">
        <f>ROUND(V5*Assumptions!$B$5,0)</f>
        <v>816.0</v>
      </c>
      <c r="W6">
        <f>ROUND(W5*Assumptions!$B$5,0)</f>
        <v>846.0</v>
      </c>
      <c r="X6">
        <f>ROUND(X5*Assumptions!$B$5,0)</f>
        <v>878.0</v>
      </c>
      <c r="Y6">
        <f>ROUND(Y5*Assumptions!$B$5,0)</f>
        <v>911.0</v>
      </c>
      <c r="Z6">
        <f>ROUND(Z5*Assumptions!$B$5,0)</f>
        <v>945.0</v>
      </c>
    </row>
    <row r="7">
      <c r="A7" t="inlineStr">
        <is>
          <t>Churned customers</t>
        </is>
      </c>
      <c r="C7">
        <f>-ROUND(C5*Assumptions!$B$6,0)</f>
        <v>-152.0</v>
      </c>
      <c r="D7">
        <f>-ROUND(D5*Assumptions!$B$6,0)</f>
        <v>-158.0</v>
      </c>
      <c r="E7">
        <f>-ROUND(E5*Assumptions!$B$6,0)</f>
        <v>-163.0</v>
      </c>
      <c r="F7">
        <f>-ROUND(F5*Assumptions!$B$6,0)</f>
        <v>-170.0</v>
      </c>
      <c r="G7">
        <f>-ROUND(G5*Assumptions!$B$6,0)</f>
        <v>-176.0</v>
      </c>
      <c r="H7">
        <f>-ROUND(H5*Assumptions!$B$6,0)</f>
        <v>-183.0</v>
      </c>
      <c r="I7">
        <f>-ROUND(I5*Assumptions!$B$6,0)</f>
        <v>-183.0</v>
      </c>
      <c r="J7">
        <f>-ROUND(J5*Assumptions!$B$6,0)</f>
        <v>-189.0</v>
      </c>
      <c r="K7">
        <f>-ROUND(K5*Assumptions!$B$6,0)</f>
        <v>-196.0</v>
      </c>
      <c r="L7">
        <f>-ROUND(L5*Assumptions!$B$6,0)</f>
        <v>-204.0</v>
      </c>
      <c r="M7">
        <f>-ROUND(M5*Assumptions!$B$6,0)</f>
        <v>-211.0</v>
      </c>
      <c r="N7">
        <f>-ROUND(N5*Assumptions!$B$6,0)</f>
        <v>-219.0</v>
      </c>
      <c r="O7">
        <f>-ROUND(O5*Assumptions!$B$6,0)</f>
        <v>-228.0</v>
      </c>
      <c r="P7">
        <f>-ROUND(P5*Assumptions!$B$6,0)</f>
        <v>-236.0</v>
      </c>
      <c r="Q7">
        <f>-ROUND(Q5*Assumptions!$B$6,0)</f>
        <v>-245.0</v>
      </c>
      <c r="R7">
        <f>-ROUND(R5*Assumptions!$B$6,0)</f>
        <v>-254.0</v>
      </c>
      <c r="S7">
        <f>-ROUND(S5*Assumptions!$B$6,0)</f>
        <v>-263.0</v>
      </c>
      <c r="T7">
        <f>-ROUND(T5*Assumptions!$B$6,0)</f>
        <v>-273.0</v>
      </c>
      <c r="U7">
        <f>-ROUND(U5*Assumptions!$B$6,0)</f>
        <v>-284.0</v>
      </c>
      <c r="V7">
        <f>-ROUND(V5*Assumptions!$B$6,0)</f>
        <v>-294.0</v>
      </c>
      <c r="W7">
        <f>-ROUND(W5*Assumptions!$B$6,0)</f>
        <v>-305.0</v>
      </c>
      <c r="X7">
        <f>-ROUND(X5*Assumptions!$B$6,0)</f>
        <v>-317.0</v>
      </c>
      <c r="Y7">
        <f>-ROUND(Y5*Assumptions!$B$6,0)</f>
        <v>-328.0</v>
      </c>
      <c r="Z7">
        <f>-ROUND(Z5*Assumptions!$B$6,0)</f>
        <v>-341.0</v>
      </c>
    </row>
    <row r="9">
      <c r="A9" t="inlineStr">
        <is>
          <t>Closing customers</t>
        </is>
      </c>
      <c r="C9">
        <f>C5+C6+C7</f>
        <v>7469.0</v>
      </c>
      <c r="D9">
        <f>D5+D6+D7</f>
        <v>7748.0</v>
      </c>
      <c r="E9">
        <f>E5+E6+E7</f>
        <v>8038.0</v>
      </c>
      <c r="F9">
        <f>F5+F6+F7</f>
        <v>8338.0</v>
      </c>
      <c r="G9">
        <f>G5+G6+G7</f>
        <v>8650.0</v>
      </c>
      <c r="H9">
        <f>H5+H6+H7</f>
        <v>8973.0</v>
      </c>
      <c r="I9">
        <f>I5+I6+I7</f>
        <v>8973.0</v>
      </c>
      <c r="J9">
        <f>J5+J6+J7</f>
        <v>9309.0</v>
      </c>
      <c r="K9">
        <f>K5+K6+K7</f>
        <v>9658.0</v>
      </c>
      <c r="L9">
        <f>L5+L6+L7</f>
        <v>10019.0</v>
      </c>
      <c r="M9">
        <f>M5+M6+M7</f>
        <v>10394.0</v>
      </c>
      <c r="N9">
        <f>N5+N6+N7</f>
        <v>10783.0</v>
      </c>
      <c r="O9">
        <f>O5+O6+O7</f>
        <v>11186.0</v>
      </c>
      <c r="P9">
        <f>P5+P6+P7</f>
        <v>11604.0</v>
      </c>
      <c r="Q9">
        <f>Q5+Q6+Q7</f>
        <v>12038.0</v>
      </c>
      <c r="R9">
        <f>R5+R6+R7</f>
        <v>12488.0</v>
      </c>
      <c r="S9">
        <f>S5+S6+S7</f>
        <v>12956.0</v>
      </c>
      <c r="T9">
        <f>T5+T6+T7</f>
        <v>13441.0</v>
      </c>
      <c r="U9">
        <f>U5+U6+U7</f>
        <v>13943.0</v>
      </c>
      <c r="V9">
        <f>V5+V6+V7</f>
        <v>14465.0</v>
      </c>
      <c r="W9">
        <f>W5+W6+W7</f>
        <v>15006.0</v>
      </c>
      <c r="X9">
        <f>X5+X6+X7</f>
        <v>15567.0</v>
      </c>
      <c r="Y9">
        <f>Y5+Y6+Y7</f>
        <v>16150.0</v>
      </c>
      <c r="Z9">
        <f>Z5+Z6+Z7</f>
        <v>16754.0</v>
      </c>
    </row>
    <row r="11">
      <c r="A11" t="inlineStr">
        <is>
          <t>ARPU</t>
        </is>
      </c>
      <c r="C11">
        <f>Assumptions!$B$7</f>
        <v>70.46</v>
      </c>
      <c r="D11">
        <f>ROUND(C11*(1+Assumptions!$B$8),2)</f>
        <v>70.71</v>
      </c>
      <c r="E11">
        <f>ROUND(D11*(1+Assumptions!$B$8),2)</f>
        <v>70.96</v>
      </c>
      <c r="F11">
        <f>ROUND(E11*(1+Assumptions!$B$8),2)</f>
        <v>71.22</v>
      </c>
      <c r="G11">
        <f>ROUND(F11*(1+Assumptions!$B$8),2)</f>
        <v>71.48</v>
      </c>
      <c r="H11">
        <f>ROUND(G11*(1+Assumptions!$B$8),2)</f>
        <v>71.74</v>
      </c>
      <c r="I11">
        <f>ROUND(H11*(1+Assumptions!$B$8),2)</f>
        <v>72.0</v>
      </c>
      <c r="J11">
        <f>ROUND(I11*(1+Assumptions!$B$8),2)</f>
        <v>72.26</v>
      </c>
      <c r="K11">
        <f>ROUND(J11*(1+Assumptions!$B$8),2)</f>
        <v>72.52</v>
      </c>
      <c r="L11">
        <f>ROUND(K11*(1+Assumptions!$B$8),2)</f>
        <v>72.78</v>
      </c>
      <c r="M11">
        <f>ROUND(L11*(1+Assumptions!$B$8),2)</f>
        <v>73.04</v>
      </c>
      <c r="N11">
        <f>ROUND(M11*(1+Assumptions!$B$8),2)</f>
        <v>73.3</v>
      </c>
      <c r="O11">
        <f>ROUND(N11*(1+Assumptions!$B$8),2)</f>
        <v>73.56</v>
      </c>
      <c r="P11">
        <f>ROUND(O11*(1+Assumptions!$B$8),2)</f>
        <v>73.82</v>
      </c>
      <c r="Q11">
        <f>ROUND(P11*(1+Assumptions!$B$8),2)</f>
        <v>74.09</v>
      </c>
      <c r="R11">
        <f>ROUND(Q11*(1+Assumptions!$B$8),2)</f>
        <v>74.36</v>
      </c>
      <c r="S11">
        <f>ROUND(R11*(1+Assumptions!$B$8),2)</f>
        <v>74.63</v>
      </c>
      <c r="T11">
        <f>ROUND(S11*(1+Assumptions!$B$8),2)</f>
        <v>74.9</v>
      </c>
      <c r="U11">
        <f>ROUND(T11*(1+Assumptions!$B$8),2)</f>
        <v>75.17</v>
      </c>
      <c r="V11">
        <f>ROUND(U11*(1+Assumptions!$B$8),2)</f>
        <v>75.44</v>
      </c>
      <c r="W11">
        <f>ROUND(V11*(1+Assumptions!$B$8),2)</f>
        <v>75.71</v>
      </c>
      <c r="X11">
        <f>ROUND(W11*(1+Assumptions!$B$8),2)</f>
        <v>75.98</v>
      </c>
      <c r="Y11">
        <f>ROUND(X11*(1+Assumptions!$B$8),2)</f>
        <v>76.25</v>
      </c>
      <c r="Z11">
        <f>ROUND(Y11*(1+Assumptions!$B$8),2)</f>
        <v>76.52</v>
      </c>
    </row>
    <row r="13">
      <c r="A13" t="inlineStr">
        <is>
          <t>Average customers</t>
        </is>
      </c>
      <c r="C13">
        <f>ROUND((C5+C9)/2,0)</f>
        <v>7335.0</v>
      </c>
      <c r="D13">
        <f>ROUND((D5+D9)/2,0)</f>
        <v>7609.0</v>
      </c>
      <c r="E13">
        <f>ROUND((E5+E9)/2,0)</f>
        <v>7893.0</v>
      </c>
      <c r="F13">
        <f>ROUND((F5+F9)/2,0)</f>
        <v>8188.0</v>
      </c>
      <c r="G13">
        <f>ROUND((G5+G9)/2,0)</f>
        <v>8494.0</v>
      </c>
      <c r="H13">
        <f>ROUND((H5+H9)/2,0)</f>
        <v>8812.0</v>
      </c>
      <c r="I13">
        <f>ROUND((I5+I9)/2,0)</f>
        <v>8812.0</v>
      </c>
      <c r="J13">
        <f>ROUND((J5+J9)/2,0)</f>
        <v>9141.0</v>
      </c>
      <c r="K13">
        <f>ROUND((K5+K9)/2,0)</f>
        <v>9484.0</v>
      </c>
      <c r="L13">
        <f>ROUND((L5+L9)/2,0)</f>
        <v>9839.0</v>
      </c>
      <c r="M13">
        <f>ROUND((M5+M9)/2,0)</f>
        <v>10207.0</v>
      </c>
      <c r="N13">
        <f>ROUND((N5+N9)/2,0)</f>
        <v>10589.0</v>
      </c>
      <c r="O13">
        <f>ROUND((O5+O9)/2,0)</f>
        <v>10985.0</v>
      </c>
      <c r="P13">
        <f>ROUND((P5+P9)/2,0)</f>
        <v>11395.0</v>
      </c>
      <c r="Q13">
        <f>ROUND((Q5+Q9)/2,0)</f>
        <v>11821.0</v>
      </c>
      <c r="R13">
        <f>ROUND((R5+R9)/2,0)</f>
        <v>12263.0</v>
      </c>
      <c r="S13">
        <f>ROUND((S5+S9)/2,0)</f>
        <v>12722.0</v>
      </c>
      <c r="T13">
        <f>ROUND((T5+T9)/2,0)</f>
        <v>13199.0</v>
      </c>
      <c r="U13">
        <f>ROUND((U5+U9)/2,0)</f>
        <v>13692.0</v>
      </c>
      <c r="V13">
        <f>ROUND((V5+V9)/2,0)</f>
        <v>14204.0</v>
      </c>
      <c r="W13">
        <f>ROUND((W5+W9)/2,0)</f>
        <v>14736.0</v>
      </c>
      <c r="X13">
        <f>ROUND((X5+X9)/2,0)</f>
        <v>15287.0</v>
      </c>
      <c r="Y13">
        <f>ROUND((Y5+Y9)/2,0)</f>
        <v>15859.0</v>
      </c>
      <c r="Z13">
        <f>ROUND((Z5+Z9)/2,0)</f>
        <v>16452.0</v>
      </c>
    </row>
    <row r="15">
      <c r="A15" t="inlineStr">
        <is>
          <t>Revenue</t>
        </is>
      </c>
      <c r="C15">
        <f>ROUND(C13*C11,0)</f>
        <v>516824.0</v>
      </c>
      <c r="D15">
        <f>ROUND(D13*D11,0)</f>
        <v>538032.0</v>
      </c>
      <c r="E15">
        <f>ROUND(E13*E11,0)</f>
        <v>560087.0</v>
      </c>
      <c r="F15">
        <f>ROUND(F13*F11,0)</f>
        <v>583149.0</v>
      </c>
      <c r="G15">
        <f>ROUND(G13*G11,0)</f>
        <v>607151.0</v>
      </c>
      <c r="H15">
        <f>ROUND(H13*H11,0)</f>
        <v>632173.0</v>
      </c>
      <c r="I15">
        <f>ROUND(I13*I11,0)</f>
        <v>634464.0</v>
      </c>
      <c r="J15">
        <f>ROUND(J13*J11,0)</f>
        <v>660529.0</v>
      </c>
      <c r="K15">
        <f>ROUND(K13*K11,0)</f>
        <v>687780.0</v>
      </c>
      <c r="L15">
        <f>ROUND(L13*L11,0)</f>
        <v>716082.0</v>
      </c>
      <c r="M15">
        <f>ROUND(M13*M11,0)</f>
        <v>745519.0</v>
      </c>
      <c r="N15">
        <f>ROUND(N13*N11,0)</f>
        <v>776174.0</v>
      </c>
      <c r="O15">
        <f>ROUND(O13*O11,0)</f>
        <v>808057.0</v>
      </c>
      <c r="P15">
        <f>ROUND(P13*P11,0)</f>
        <v>841179.0</v>
      </c>
      <c r="Q15">
        <f>ROUND(Q13*Q11,0)</f>
        <v>875818.0</v>
      </c>
      <c r="R15">
        <f>ROUND(R13*R11,0)</f>
        <v>911877.0</v>
      </c>
      <c r="S15">
        <f>ROUND(S13*S11,0)</f>
        <v>949443.0</v>
      </c>
      <c r="T15">
        <f>ROUND(T13*T11,0)</f>
        <v>988605.0</v>
      </c>
      <c r="U15">
        <f>ROUND(U13*U11,0)</f>
        <v>1029228.0</v>
      </c>
      <c r="V15">
        <f>ROUND(V13*V11,0)</f>
        <v>1071550.0</v>
      </c>
      <c r="W15">
        <f>ROUND(W13*W11,0)</f>
        <v>1115663.0</v>
      </c>
      <c r="X15">
        <f>ROUND(X13*X11,0)</f>
        <v>1161506.0</v>
      </c>
      <c r="Y15">
        <f>ROUND(Y13*Y11,0)</f>
        <v>1209249.0</v>
      </c>
      <c r="Z15">
        <f>ROUND(Z13*Z11,0)</f>
        <v>1258907.0</v>
      </c>
    </row>
    <row r="17">
      <c r="A17" t="inlineStr">
        <is>
          <t>Cumulative revenue</t>
        </is>
      </c>
      <c r="C17">
        <f>C15</f>
        <v>516824.0</v>
      </c>
      <c r="D17">
        <f>C17+D15</f>
        <v>1054856.0</v>
      </c>
      <c r="E17">
        <f>D17+E15</f>
        <v>1614943.0</v>
      </c>
      <c r="F17">
        <f>E17+F15</f>
        <v>2198092.0</v>
      </c>
      <c r="G17">
        <f>F17+G15</f>
        <v>2805243.0</v>
      </c>
      <c r="H17">
        <f>G17+H15</f>
        <v>3437416.0</v>
      </c>
      <c r="I17">
        <f>H17+I15</f>
        <v>4071880.0</v>
      </c>
      <c r="J17">
        <f>I17+J15</f>
        <v>4732409.0</v>
      </c>
      <c r="K17">
        <f>J17+K15</f>
        <v>5420189.0</v>
      </c>
      <c r="L17">
        <f>K17+L15</f>
        <v>6136271.0</v>
      </c>
      <c r="M17">
        <f>L17+M15</f>
        <v>6881790.0</v>
      </c>
      <c r="N17">
        <f>M17+N15</f>
        <v>7657964.0</v>
      </c>
      <c r="O17">
        <f>N17+O15</f>
        <v>8466021.0</v>
      </c>
      <c r="P17">
        <f>O17+P15</f>
        <v>9307200.0</v>
      </c>
      <c r="Q17">
        <f>P17+Q15</f>
        <v>10183018.0</v>
      </c>
      <c r="R17">
        <f>Q17+R15</f>
        <v>11094895.0</v>
      </c>
      <c r="S17">
        <f>R17+S15</f>
        <v>12044338.0</v>
      </c>
      <c r="T17">
        <f>S17+T15</f>
        <v>13032943.0</v>
      </c>
      <c r="U17">
        <f>T17+U15</f>
        <v>14062171.0</v>
      </c>
      <c r="V17">
        <f>U17+V15</f>
        <v>15133721.0</v>
      </c>
      <c r="W17">
        <f>V17+W15</f>
        <v>16249384.0</v>
      </c>
      <c r="X17">
        <f>W17+X15</f>
        <v>17410890.0</v>
      </c>
      <c r="Y17">
        <f>X17+Y15</f>
        <v>18620139.0</v>
      </c>
      <c r="Z17">
        <f>Y17+Z15</f>
        <v>19879046.0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Cost build</t>
        </is>
      </c>
    </row>
    <row r="3">
      <c r="A3" t="inlineStr">
        <is>
          <t>Month</t>
        </is>
      </c>
      <c r="C3">
        <f>Revenue!C3</f>
        <v>1.0</v>
      </c>
      <c r="D3">
        <f>Revenue!D3</f>
        <v>2.0</v>
      </c>
      <c r="E3">
        <f>Revenue!E3</f>
        <v>3.0</v>
      </c>
      <c r="F3">
        <f>Revenue!F3</f>
        <v>4.0</v>
      </c>
      <c r="G3">
        <f>Revenue!G3</f>
        <v>5.0</v>
      </c>
      <c r="H3">
        <f>Revenue!H3</f>
        <v>6.0</v>
      </c>
      <c r="I3">
        <f>Revenue!I3</f>
        <v>7.0</v>
      </c>
      <c r="J3">
        <f>Revenue!J3</f>
        <v>8.0</v>
      </c>
      <c r="K3">
        <f>Revenue!K3</f>
        <v>9.0</v>
      </c>
      <c r="L3">
        <f>Revenue!L3</f>
        <v>10.0</v>
      </c>
      <c r="M3">
        <f>Revenue!M3</f>
        <v>11.0</v>
      </c>
      <c r="N3">
        <f>Revenue!N3</f>
        <v>12.0</v>
      </c>
      <c r="O3">
        <f>Revenue!O3</f>
        <v>13.0</v>
      </c>
      <c r="P3">
        <f>Revenue!P3</f>
        <v>14.0</v>
      </c>
      <c r="Q3">
        <f>Revenue!Q3</f>
        <v>15.0</v>
      </c>
      <c r="R3">
        <f>Revenue!R3</f>
        <v>16.0</v>
      </c>
      <c r="S3">
        <f>Revenue!S3</f>
        <v>17.0</v>
      </c>
      <c r="T3">
        <f>Revenue!T3</f>
        <v>18.0</v>
      </c>
      <c r="U3">
        <f>Revenue!U3</f>
        <v>19.0</v>
      </c>
      <c r="V3">
        <f>Revenue!V3</f>
        <v>20.0</v>
      </c>
      <c r="W3">
        <f>Revenue!W3</f>
        <v>21.0</v>
      </c>
      <c r="X3">
        <f>Revenue!X3</f>
        <v>22.0</v>
      </c>
      <c r="Y3">
        <f>Revenue!Y3</f>
        <v>23.0</v>
      </c>
      <c r="Z3">
        <f>Revenue!Z3</f>
        <v>24.0</v>
      </c>
    </row>
    <row r="5">
      <c r="A5" t="inlineStr">
        <is>
          <t>Headcount</t>
        </is>
      </c>
      <c r="C5">
        <f>Assumptions!$B$12</f>
        <v>14.0</v>
      </c>
      <c r="D5">
        <f>C5+Assumptions!$B$13</f>
        <v>16.0</v>
      </c>
      <c r="E5">
        <f>D5+Assumptions!$B$13</f>
        <v>18.0</v>
      </c>
      <c r="F5">
        <f>E5+Assumptions!$B$13</f>
        <v>20.0</v>
      </c>
      <c r="G5">
        <f>F5+Assumptions!$B$13</f>
        <v>22.0</v>
      </c>
      <c r="H5">
        <f>G5+Assumptions!$B$13</f>
        <v>24.0</v>
      </c>
      <c r="I5">
        <f>H5+Assumptions!$B$13</f>
        <v>26.0</v>
      </c>
      <c r="J5">
        <f>I5+Assumptions!$B$13</f>
        <v>28.0</v>
      </c>
      <c r="K5">
        <f>J5+Assumptions!$B$13</f>
        <v>30.0</v>
      </c>
      <c r="L5">
        <f>K5+Assumptions!$B$13</f>
        <v>32.0</v>
      </c>
      <c r="M5">
        <f>L5+Assumptions!$B$13</f>
        <v>34.0</v>
      </c>
      <c r="N5">
        <f>M5+Assumptions!$B$13</f>
        <v>36.0</v>
      </c>
      <c r="O5">
        <f>N5+Assumptions!$B$13</f>
        <v>38.0</v>
      </c>
      <c r="P5">
        <f>O5+Assumptions!$B$13</f>
        <v>40.0</v>
      </c>
      <c r="Q5">
        <f>P5+Assumptions!$B$13</f>
        <v>42.0</v>
      </c>
      <c r="R5">
        <f>Q5+Assumptions!$B$13</f>
        <v>44.0</v>
      </c>
      <c r="S5">
        <f>R5+Assumptions!$B$13</f>
        <v>46.0</v>
      </c>
      <c r="T5">
        <f>S5+Assumptions!$B$13</f>
        <v>48.0</v>
      </c>
      <c r="U5">
        <f>T5+Assumptions!$B$13</f>
        <v>50.0</v>
      </c>
      <c r="V5">
        <f>U5+Assumptions!$B$13</f>
        <v>52.0</v>
      </c>
      <c r="W5">
        <f>V5+Assumptions!$B$13</f>
        <v>54.0</v>
      </c>
      <c r="X5">
        <f>W5+Assumptions!$B$13</f>
        <v>56.0</v>
      </c>
      <c r="Y5">
        <f>X5+Assumptions!$B$13</f>
        <v>58.0</v>
      </c>
      <c r="Z5">
        <f>Y5+Assumptions!$B$13</f>
        <v>60.0</v>
      </c>
    </row>
    <row r="6">
      <c r="A6" t="inlineStr">
        <is>
          <t>Salary cost</t>
        </is>
      </c>
      <c r="C6">
        <f>ROUND(C5*Assumptions!$B$14/12,0)</f>
        <v>70000.0</v>
      </c>
      <c r="D6">
        <f>ROUND(D5*Assumptions!$B$14/12,0)</f>
        <v>80000.0</v>
      </c>
      <c r="E6">
        <f>ROUND(E5*Assumptions!$B$14/12,0)</f>
        <v>90000.0</v>
      </c>
      <c r="F6">
        <f>ROUND(F5*Assumptions!$B$14/12,0)</f>
        <v>100000.0</v>
      </c>
      <c r="G6">
        <f>ROUND(G5*Assumptions!$B$14/12,0)</f>
        <v>110000.0</v>
      </c>
      <c r="H6">
        <f>ROUND(H5*Assumptions!$B$14/12,0)</f>
        <v>120000.0</v>
      </c>
      <c r="I6">
        <f>ROUND(I5*Assumptions!$B$14/12,0)</f>
        <v>130000.0</v>
      </c>
      <c r="J6">
        <f>ROUND(J5*Assumptions!$B$14/12,0)</f>
        <v>140000.0</v>
      </c>
      <c r="K6">
        <f>ROUND(K5*Assumptions!$B$14/12,0)</f>
        <v>150000.0</v>
      </c>
      <c r="L6">
        <f>ROUND(L5*Assumptions!$B$14/12,0)</f>
        <v>160000.0</v>
      </c>
      <c r="M6">
        <f>ROUND(M5*Assumptions!$B$14/12,0)</f>
        <v>170000.0</v>
      </c>
      <c r="N6">
        <f>ROUND(N5*Assumptions!$B$14/12,0)</f>
        <v>180000.0</v>
      </c>
      <c r="O6">
        <f>ROUND(O5*Assumptions!$B$14/12,0)</f>
        <v>190000.0</v>
      </c>
      <c r="P6">
        <f>ROUND(P5*Assumptions!$B$14/12,0)</f>
        <v>200000.0</v>
      </c>
      <c r="Q6">
        <f>ROUND(Q5*Assumptions!$B$14/12,0)</f>
        <v>210000.0</v>
      </c>
      <c r="R6">
        <f>ROUND(R5*Assumptions!$B$14/12,0)</f>
        <v>220000.0</v>
      </c>
      <c r="S6">
        <f>ROUND(S5*Assumptions!$B$14/12,0)</f>
        <v>230000.0</v>
      </c>
      <c r="T6">
        <f>ROUND(T5*Assumptions!$B$14/12,0)</f>
        <v>240000.0</v>
      </c>
      <c r="U6">
        <f>ROUND(U5*Assumptions!$B$14/12,0)</f>
        <v>250000.0</v>
      </c>
      <c r="V6">
        <f>ROUND(V5*Assumptions!$B$14/12,0)</f>
        <v>260000.0</v>
      </c>
      <c r="W6">
        <f>ROUND(W5*Assumptions!$B$14/12,0)</f>
        <v>270000.0</v>
      </c>
      <c r="X6">
        <f>ROUND(X5*Assumptions!$B$14/12,0)</f>
        <v>280000.0</v>
      </c>
      <c r="Y6">
        <f>ROUND(Y5*Assumptions!$B$14/12,0)</f>
        <v>290000.0</v>
      </c>
      <c r="Z6">
        <f>ROUND(Z5*Assumptions!$B$14/12,0)</f>
        <v>300000.0</v>
      </c>
    </row>
    <row r="7">
      <c r="A7" t="inlineStr">
        <is>
          <t>Payroll tax</t>
        </is>
      </c>
      <c r="C7">
        <f>ROUND(C6*Assumptions!$B$15,0)</f>
        <v>7133.0</v>
      </c>
      <c r="D7">
        <f>ROUND(D6*Assumptions!$B$15,0)</f>
        <v>8152.0</v>
      </c>
      <c r="E7">
        <f>ROUND(E6*Assumptions!$B$15,0)</f>
        <v>9171.0</v>
      </c>
      <c r="F7">
        <f>ROUND(F6*Assumptions!$B$15,0)</f>
        <v>10190.0</v>
      </c>
      <c r="G7">
        <f>ROUND(G6*Assumptions!$B$15,0)</f>
        <v>11209.0</v>
      </c>
      <c r="H7">
        <f>ROUND(H6*Assumptions!$B$15,0)</f>
        <v>12228.0</v>
      </c>
      <c r="I7">
        <f>ROUND(I6*Assumptions!$B$15,0)</f>
        <v>13247.0</v>
      </c>
      <c r="J7">
        <f>ROUND(J6*Assumptions!$B$15,0)</f>
        <v>14266.0</v>
      </c>
      <c r="K7">
        <f>ROUND(K6*Assumptions!$B$15,0)</f>
        <v>15285.0</v>
      </c>
      <c r="L7">
        <f>ROUND(L6*Assumptions!$B$15,0)</f>
        <v>16304.0</v>
      </c>
      <c r="M7">
        <f>ROUND(M6*Assumptions!$B$15,0)</f>
        <v>17323.0</v>
      </c>
      <c r="N7">
        <f>ROUND(N6*Assumptions!$B$15,0)</f>
        <v>18342.0</v>
      </c>
      <c r="O7">
        <f>ROUND(O6*Assumptions!$B$15,0)</f>
        <v>19361.0</v>
      </c>
      <c r="P7">
        <f>ROUND(P6*Assumptions!$B$15,0)</f>
        <v>20380.0</v>
      </c>
      <c r="Q7">
        <f>ROUND(Q6*Assumptions!$B$15,0)</f>
        <v>21399.0</v>
      </c>
      <c r="R7">
        <f>ROUND(R6*Assumptions!$B$15,0)</f>
        <v>22418.0</v>
      </c>
      <c r="S7">
        <f>ROUND(S6*Assumptions!$B$15,0)</f>
        <v>23437.0</v>
      </c>
      <c r="T7">
        <f>ROUND(T6*Assumptions!$B$15,0)</f>
        <v>24456.0</v>
      </c>
      <c r="U7">
        <f>ROUND(U6*Assumptions!$B$15,0)</f>
        <v>25475.0</v>
      </c>
      <c r="V7">
        <f>ROUND(V6*Assumptions!$B$15,0)</f>
        <v>26494.0</v>
      </c>
      <c r="W7">
        <f>ROUND(W6*Assumptions!$B$15,0)</f>
        <v>27513.0</v>
      </c>
      <c r="X7">
        <f>ROUND(X6*Assumptions!$B$15,0)</f>
        <v>28532.0</v>
      </c>
      <c r="Y7">
        <f>ROUND(Y6*Assumptions!$B$15,0)</f>
        <v>29551.0</v>
      </c>
      <c r="Z7">
        <f>ROUND(Z6*Assumptions!$B$15,0)</f>
        <v>30570.0</v>
      </c>
    </row>
    <row r="8">
      <c r="A8" t="inlineStr">
        <is>
          <t>Total staff cost</t>
        </is>
      </c>
      <c r="C8">
        <f>C6+C7</f>
        <v>77133.0</v>
      </c>
      <c r="D8">
        <f>D6+D7</f>
        <v>88152.0</v>
      </c>
      <c r="E8">
        <f>E6+E7</f>
        <v>99171.0</v>
      </c>
      <c r="F8">
        <f>F6+F7</f>
        <v>110190.0</v>
      </c>
      <c r="G8">
        <f>G6+G7</f>
        <v>121209.0</v>
      </c>
      <c r="H8">
        <f>H6+H7</f>
        <v>132228.0</v>
      </c>
      <c r="I8">
        <f>I6+I7</f>
        <v>143247.0</v>
      </c>
      <c r="J8">
        <f>J6+J7</f>
        <v>154266.0</v>
      </c>
      <c r="K8">
        <f>K6+K7</f>
        <v>165285.0</v>
      </c>
      <c r="L8">
        <f>L6+L7</f>
        <v>176304.0</v>
      </c>
      <c r="M8">
        <f>M6+M7</f>
        <v>187323.0</v>
      </c>
      <c r="N8">
        <f>N6+N7</f>
        <v>198342.0</v>
      </c>
      <c r="O8">
        <f>O6+O7</f>
        <v>209361.0</v>
      </c>
      <c r="P8">
        <f>P6+P7</f>
        <v>220380.0</v>
      </c>
      <c r="Q8">
        <f>Q6+Q7</f>
        <v>231399.0</v>
      </c>
      <c r="R8">
        <f>R6+R7</f>
        <v>242418.0</v>
      </c>
      <c r="S8">
        <f>S6+S7</f>
        <v>253437.0</v>
      </c>
      <c r="T8">
        <f>T6+T7</f>
        <v>264456.0</v>
      </c>
      <c r="U8">
        <f>U6+U7</f>
        <v>275475.0</v>
      </c>
      <c r="V8">
        <f>V6+V7</f>
        <v>286494.0</v>
      </c>
      <c r="W8">
        <f>W6+W7</f>
        <v>297513.0</v>
      </c>
      <c r="X8">
        <f>X6+X7</f>
        <v>308532.0</v>
      </c>
      <c r="Y8">
        <f>Y6+Y7</f>
        <v>319551.0</v>
      </c>
      <c r="Z8">
        <f>Z6+Z7</f>
        <v>330570.0</v>
      </c>
    </row>
    <row r="10">
      <c r="A10" t="inlineStr">
        <is>
          <t>Cost of sales</t>
        </is>
      </c>
      <c r="C10">
        <f>ROUND(Revenue!C15*Assumptions!$B$11,0)</f>
        <v>132720.0</v>
      </c>
      <c r="D10">
        <f>ROUND(Revenue!D15*Assumptions!$B$11,0)</f>
        <v>138167.0</v>
      </c>
      <c r="E10">
        <f>ROUND(Revenue!E15*Assumptions!$B$11,0)</f>
        <v>143830.0</v>
      </c>
      <c r="F10">
        <f>ROUND(Revenue!F15*Assumptions!$B$11,0)</f>
        <v>149753.0</v>
      </c>
      <c r="G10">
        <f>ROUND(Revenue!G15*Assumptions!$B$11,0)</f>
        <v>155916.0</v>
      </c>
      <c r="H10">
        <f>ROUND(Revenue!H15*Assumptions!$B$11,0)</f>
        <v>162342.0</v>
      </c>
      <c r="I10">
        <f>ROUND(Revenue!I15*Assumptions!$B$11,0)</f>
        <v>162930.0</v>
      </c>
      <c r="J10">
        <f>ROUND(Revenue!J15*Assumptions!$B$11,0)</f>
        <v>169624.0</v>
      </c>
      <c r="K10">
        <f>ROUND(Revenue!K15*Assumptions!$B$11,0)</f>
        <v>176622.0</v>
      </c>
      <c r="L10">
        <f>ROUND(Revenue!L15*Assumptions!$B$11,0)</f>
        <v>183890.0</v>
      </c>
      <c r="M10">
        <f>ROUND(Revenue!M15*Assumptions!$B$11,0)</f>
        <v>191449.0</v>
      </c>
      <c r="N10">
        <f>ROUND(Revenue!N15*Assumptions!$B$11,0)</f>
        <v>199321.0</v>
      </c>
      <c r="O10">
        <f>ROUND(Revenue!O15*Assumptions!$B$11,0)</f>
        <v>207509.0</v>
      </c>
      <c r="P10">
        <f>ROUND(Revenue!P15*Assumptions!$B$11,0)</f>
        <v>216015.0</v>
      </c>
      <c r="Q10">
        <f>ROUND(Revenue!Q15*Assumptions!$B$11,0)</f>
        <v>224910.0</v>
      </c>
      <c r="R10">
        <f>ROUND(Revenue!R15*Assumptions!$B$11,0)</f>
        <v>234170.0</v>
      </c>
      <c r="S10">
        <f>ROUND(Revenue!S15*Assumptions!$B$11,0)</f>
        <v>243817.0</v>
      </c>
      <c r="T10">
        <f>ROUND(Revenue!T15*Assumptions!$B$11,0)</f>
        <v>253874.0</v>
      </c>
      <c r="U10">
        <f>ROUND(Revenue!U15*Assumptions!$B$11,0)</f>
        <v>264306.0</v>
      </c>
      <c r="V10">
        <f>ROUND(Revenue!V15*Assumptions!$B$11,0)</f>
        <v>275174.0</v>
      </c>
      <c r="W10">
        <f>ROUND(Revenue!W15*Assumptions!$B$11,0)</f>
        <v>286502.0</v>
      </c>
      <c r="X10">
        <f>ROUND(Revenue!X15*Assumptions!$B$11,0)</f>
        <v>298275.0</v>
      </c>
      <c r="Y10">
        <f>ROUND(Revenue!Y15*Assumptions!$B$11,0)</f>
        <v>310535.0</v>
      </c>
      <c r="Z10">
        <f>ROUND(Revenue!Z15*Assumptions!$B$11,0)</f>
        <v>323287.0</v>
      </c>
    </row>
    <row r="11">
      <c r="A11" t="inlineStr">
        <is>
          <t>Marketing</t>
        </is>
      </c>
      <c r="C11">
        <f>ROUND(Revenue!C15*Assumptions!$B$16,0)</f>
        <v>62071.0</v>
      </c>
      <c r="D11">
        <f>ROUND(Revenue!D15*Assumptions!$B$16,0)</f>
        <v>64618.0</v>
      </c>
      <c r="E11">
        <f>ROUND(Revenue!E15*Assumptions!$B$16,0)</f>
        <v>67266.0</v>
      </c>
      <c r="F11">
        <f>ROUND(Revenue!F15*Assumptions!$B$16,0)</f>
        <v>70036.0</v>
      </c>
      <c r="G11">
        <f>ROUND(Revenue!G15*Assumptions!$B$16,0)</f>
        <v>72919.0</v>
      </c>
      <c r="H11">
        <f>ROUND(Revenue!H15*Assumptions!$B$16,0)</f>
        <v>75924.0</v>
      </c>
      <c r="I11">
        <f>ROUND(Revenue!I15*Assumptions!$B$16,0)</f>
        <v>76199.0</v>
      </c>
      <c r="J11">
        <f>ROUND(Revenue!J15*Assumptions!$B$16,0)</f>
        <v>79330.0</v>
      </c>
      <c r="K11">
        <f>ROUND(Revenue!K15*Assumptions!$B$16,0)</f>
        <v>82602.0</v>
      </c>
      <c r="L11">
        <f>ROUND(Revenue!L15*Assumptions!$B$16,0)</f>
        <v>86001.0</v>
      </c>
      <c r="M11">
        <f>ROUND(Revenue!M15*Assumptions!$B$16,0)</f>
        <v>89537.0</v>
      </c>
      <c r="N11">
        <f>ROUND(Revenue!N15*Assumptions!$B$16,0)</f>
        <v>93218.0</v>
      </c>
      <c r="O11">
        <f>ROUND(Revenue!O15*Assumptions!$B$16,0)</f>
        <v>97048.0</v>
      </c>
      <c r="P11">
        <f>ROUND(Revenue!P15*Assumptions!$B$16,0)</f>
        <v>101026.0</v>
      </c>
      <c r="Q11">
        <f>ROUND(Revenue!Q15*Assumptions!$B$16,0)</f>
        <v>105186.0</v>
      </c>
      <c r="R11">
        <f>ROUND(Revenue!R15*Assumptions!$B$16,0)</f>
        <v>109516.0</v>
      </c>
      <c r="S11">
        <f>ROUND(Revenue!S15*Assumptions!$B$16,0)</f>
        <v>114028.0</v>
      </c>
      <c r="T11">
        <f>ROUND(Revenue!T15*Assumptions!$B$16,0)</f>
        <v>118731.0</v>
      </c>
      <c r="U11">
        <f>ROUND(Revenue!U15*Assumptions!$B$16,0)</f>
        <v>123610.0</v>
      </c>
      <c r="V11">
        <f>ROUND(Revenue!V15*Assumptions!$B$16,0)</f>
        <v>128693.0</v>
      </c>
      <c r="W11">
        <f>ROUND(Revenue!W15*Assumptions!$B$16,0)</f>
        <v>133991.0</v>
      </c>
      <c r="X11">
        <f>ROUND(Revenue!X15*Assumptions!$B$16,0)</f>
        <v>139497.0</v>
      </c>
      <c r="Y11">
        <f>ROUND(Revenue!Y15*Assumptions!$B$16,0)</f>
        <v>145231.0</v>
      </c>
      <c r="Z11">
        <f>ROUND(Revenue!Z15*Assumptions!$B$16,0)</f>
        <v>151195.0</v>
      </c>
    </row>
    <row r="12">
      <c r="A12" t="inlineStr">
        <is>
          <t>Overhead</t>
        </is>
      </c>
      <c r="C12">
        <f>ROUND(Assumptions!$B$17,0)</f>
        <v>25500.0</v>
      </c>
      <c r="D12">
        <f>ROUND(C12*(1+Assumptions!$B$18),0)</f>
        <v>25668.0</v>
      </c>
      <c r="E12">
        <f>ROUND(D12*(1+Assumptions!$B$18),0)</f>
        <v>25837.0</v>
      </c>
      <c r="F12">
        <f>ROUND(E12*(1+Assumptions!$B$18),0)</f>
        <v>26008.0</v>
      </c>
      <c r="G12">
        <f>ROUND(F12*(1+Assumptions!$B$18),0)</f>
        <v>26180.0</v>
      </c>
      <c r="H12">
        <f>ROUND(G12*(1+Assumptions!$B$18),0)</f>
        <v>26353.0</v>
      </c>
      <c r="I12">
        <f>ROUND(H12*(1+Assumptions!$B$18),0)</f>
        <v>26527.0</v>
      </c>
      <c r="J12">
        <f>ROUND(I12*(1+Assumptions!$B$18),0)</f>
        <v>26702.0</v>
      </c>
      <c r="K12">
        <f>ROUND(J12*(1+Assumptions!$B$18),0)</f>
        <v>26878.0</v>
      </c>
      <c r="L12">
        <f>ROUND(K12*(1+Assumptions!$B$18),0)</f>
        <v>27055.0</v>
      </c>
      <c r="M12">
        <f>ROUND(L12*(1+Assumptions!$B$18),0)</f>
        <v>27234.0</v>
      </c>
      <c r="N12">
        <f>ROUND(M12*(1+Assumptions!$B$18),0)</f>
        <v>27414.0</v>
      </c>
      <c r="O12">
        <f>ROUND(N12*(1+Assumptions!$B$18),0)</f>
        <v>27595.0</v>
      </c>
      <c r="P12">
        <f>ROUND(O12*(1+Assumptions!$B$18),0)</f>
        <v>27777.0</v>
      </c>
      <c r="Q12">
        <f>ROUND(P12*(1+Assumptions!$B$18),0)</f>
        <v>27960.0</v>
      </c>
      <c r="R12">
        <f>ROUND(Q12*(1+Assumptions!$B$18),0)</f>
        <v>28145.0</v>
      </c>
      <c r="S12">
        <f>ROUND(R12*(1+Assumptions!$B$18),0)</f>
        <v>28331.0</v>
      </c>
      <c r="T12">
        <f>ROUND(S12*(1+Assumptions!$B$18),0)</f>
        <v>28518.0</v>
      </c>
      <c r="U12">
        <f>ROUND(T12*(1+Assumptions!$B$18),0)</f>
        <v>28706.0</v>
      </c>
      <c r="V12">
        <f>ROUND(U12*(1+Assumptions!$B$18),0)</f>
        <v>28895.0</v>
      </c>
      <c r="W12">
        <f>ROUND(V12*(1+Assumptions!$B$18),0)</f>
        <v>29086.0</v>
      </c>
      <c r="X12">
        <f>ROUND(W12*(1+Assumptions!$B$18),0)</f>
        <v>29278.0</v>
      </c>
      <c r="Y12">
        <f>ROUND(X12*(1+Assumptions!$B$18),0)</f>
        <v>29471.0</v>
      </c>
      <c r="Z12">
        <f>ROUND(Y12*(1+Assumptions!$B$18),0)</f>
        <v>29666.0</v>
      </c>
    </row>
    <row r="14">
      <c r="A14" t="inlineStr">
        <is>
          <t>Total costs</t>
        </is>
      </c>
      <c r="C14">
        <f>C8+C10+C11+C12</f>
        <v>297424.0</v>
      </c>
      <c r="D14">
        <f>D8+D10+D11+D12</f>
        <v>316605.0</v>
      </c>
      <c r="E14">
        <f>E8+E10+E11+E12</f>
        <v>336104.0</v>
      </c>
      <c r="F14">
        <f>F8+F10+F11+F12</f>
        <v>355987.0</v>
      </c>
      <c r="G14">
        <f>G8+G10+G11+G12</f>
        <v>376224.0</v>
      </c>
      <c r="H14">
        <f>H8+H10+H11+H12</f>
        <v>396847.0</v>
      </c>
      <c r="I14">
        <f>I8+I10+I11+I12</f>
        <v>408903.0</v>
      </c>
      <c r="J14">
        <f>J8+J10+J11+J12</f>
        <v>429922.0</v>
      </c>
      <c r="K14">
        <f>K8+K10+K11+K12</f>
        <v>451387.0</v>
      </c>
      <c r="L14">
        <f>L8+L10+L11+L12</f>
        <v>473250.0</v>
      </c>
      <c r="M14">
        <f>M8+M10+M11+M12</f>
        <v>495543.0</v>
      </c>
      <c r="N14">
        <f>N8+N10+N11+N12</f>
        <v>518295.0</v>
      </c>
      <c r="O14">
        <f>O8+O10+O11+O12</f>
        <v>541513.0</v>
      </c>
      <c r="P14">
        <f>P8+P10+P11+P12</f>
        <v>565198.0</v>
      </c>
      <c r="Q14">
        <f>Q8+Q10+Q11+Q12</f>
        <v>589455.0</v>
      </c>
      <c r="R14">
        <f>R8+R10+R11+R12</f>
        <v>614249.0</v>
      </c>
      <c r="S14">
        <f>S8+S10+S11+S12</f>
        <v>639613.0</v>
      </c>
      <c r="T14">
        <f>T8+T10+T11+T12</f>
        <v>665579.0</v>
      </c>
      <c r="U14">
        <f>U8+U10+U11+U12</f>
        <v>692097.0</v>
      </c>
      <c r="V14">
        <f>V8+V10+V11+V12</f>
        <v>719256.0</v>
      </c>
      <c r="W14">
        <f>W8+W10+W11+W12</f>
        <v>747092.0</v>
      </c>
      <c r="X14">
        <f>X8+X10+X11+X12</f>
        <v>775582.0</v>
      </c>
      <c r="Y14">
        <f>Y8+Y10+Y11+Y12</f>
        <v>804788.0</v>
      </c>
      <c r="Z14">
        <f>Z8+Z10+Z11+Z12</f>
        <v>834718.0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Profit and loss</t>
        </is>
      </c>
    </row>
    <row r="3">
      <c r="A3" t="inlineStr">
        <is>
          <t>Month</t>
        </is>
      </c>
      <c r="C3">
        <f>Revenue!C3</f>
        <v>1.0</v>
      </c>
      <c r="D3">
        <f>Revenue!D3</f>
        <v>2.0</v>
      </c>
      <c r="E3">
        <f>Revenue!E3</f>
        <v>3.0</v>
      </c>
      <c r="F3">
        <f>Revenue!F3</f>
        <v>4.0</v>
      </c>
      <c r="G3">
        <f>Revenue!G3</f>
        <v>5.0</v>
      </c>
      <c r="H3">
        <f>Revenue!H3</f>
        <v>6.0</v>
      </c>
      <c r="I3">
        <f>Revenue!I3</f>
        <v>7.0</v>
      </c>
      <c r="J3">
        <f>Revenue!J3</f>
        <v>8.0</v>
      </c>
      <c r="K3">
        <f>Revenue!K3</f>
        <v>9.0</v>
      </c>
      <c r="L3">
        <f>Revenue!L3</f>
        <v>10.0</v>
      </c>
      <c r="M3">
        <f>Revenue!M3</f>
        <v>11.0</v>
      </c>
      <c r="N3">
        <f>Revenue!N3</f>
        <v>12.0</v>
      </c>
      <c r="O3">
        <f>Revenue!O3</f>
        <v>13.0</v>
      </c>
      <c r="P3">
        <f>Revenue!P3</f>
        <v>14.0</v>
      </c>
      <c r="Q3">
        <f>Revenue!Q3</f>
        <v>15.0</v>
      </c>
      <c r="R3">
        <f>Revenue!R3</f>
        <v>16.0</v>
      </c>
      <c r="S3">
        <f>Revenue!S3</f>
        <v>17.0</v>
      </c>
      <c r="T3">
        <f>Revenue!T3</f>
        <v>18.0</v>
      </c>
      <c r="U3">
        <f>Revenue!U3</f>
        <v>19.0</v>
      </c>
      <c r="V3">
        <f>Revenue!V3</f>
        <v>20.0</v>
      </c>
      <c r="W3">
        <f>Revenue!W3</f>
        <v>21.0</v>
      </c>
      <c r="X3">
        <f>Revenue!X3</f>
        <v>22.0</v>
      </c>
      <c r="Y3">
        <f>Revenue!Y3</f>
        <v>23.0</v>
      </c>
      <c r="Z3">
        <f>Revenue!Z3</f>
        <v>24.0</v>
      </c>
      <c r="AA3" t="inlineStr">
        <is>
          <t>Total</t>
        </is>
      </c>
    </row>
    <row r="5">
      <c r="A5" t="inlineStr">
        <is>
          <t>Revenue</t>
        </is>
      </c>
      <c r="C5">
        <f>Revenue!C15</f>
        <v>516824.0</v>
      </c>
      <c r="D5">
        <f>Revenue!D15</f>
        <v>538032.0</v>
      </c>
      <c r="E5">
        <f>Revenue!E15</f>
        <v>560087.0</v>
      </c>
      <c r="F5">
        <f>Revenue!F15</f>
        <v>583149.0</v>
      </c>
      <c r="G5">
        <f>Revenue!G15</f>
        <v>607151.0</v>
      </c>
      <c r="H5">
        <f>Revenue!H15</f>
        <v>632173.0</v>
      </c>
      <c r="I5">
        <f>Revenue!I15</f>
        <v>634464.0</v>
      </c>
      <c r="J5">
        <f>Revenue!J15</f>
        <v>660529.0</v>
      </c>
      <c r="K5">
        <f>Revenue!K15</f>
        <v>687780.0</v>
      </c>
      <c r="L5">
        <f>Revenue!L15</f>
        <v>716082.0</v>
      </c>
      <c r="M5">
        <f>Revenue!M15</f>
        <v>745519.0</v>
      </c>
      <c r="N5">
        <f>Revenue!N15</f>
        <v>776174.0</v>
      </c>
      <c r="O5">
        <f>Revenue!O15</f>
        <v>808057.0</v>
      </c>
      <c r="P5">
        <f>Revenue!P15</f>
        <v>841179.0</v>
      </c>
      <c r="Q5">
        <f>Revenue!Q15</f>
        <v>875818.0</v>
      </c>
      <c r="R5">
        <f>Revenue!R15</f>
        <v>911877.0</v>
      </c>
      <c r="S5">
        <f>Revenue!S15</f>
        <v>949443.0</v>
      </c>
      <c r="T5">
        <f>Revenue!T15</f>
        <v>988605.0</v>
      </c>
      <c r="U5">
        <f>Revenue!U15</f>
        <v>1029228.0</v>
      </c>
      <c r="V5">
        <f>Revenue!V15</f>
        <v>1071550.0</v>
      </c>
      <c r="W5">
        <f>Revenue!W15</f>
        <v>1115663.0</v>
      </c>
      <c r="X5">
        <f>Revenue!X15</f>
        <v>1161506.0</v>
      </c>
      <c r="Y5">
        <f>Revenue!Y15</f>
        <v>1209249.0</v>
      </c>
      <c r="Z5">
        <f>Revenue!Z15</f>
        <v>1258907.0</v>
      </c>
      <c r="AA5">
        <f>SUM(C5:Z5)</f>
        <v>19879046.0</v>
      </c>
    </row>
    <row r="6">
      <c r="A6" t="inlineStr">
        <is>
          <t>Cost of sales</t>
        </is>
      </c>
      <c r="C6">
        <f>-Costs!C10</f>
        <v>-132720.0</v>
      </c>
      <c r="D6">
        <f>-Costs!D10</f>
        <v>-138167.0</v>
      </c>
      <c r="E6">
        <f>-Costs!E10</f>
        <v>-143830.0</v>
      </c>
      <c r="F6">
        <f>-Costs!F10</f>
        <v>-149753.0</v>
      </c>
      <c r="G6">
        <f>-Costs!G10</f>
        <v>-155916.0</v>
      </c>
      <c r="H6">
        <f>-Costs!H10</f>
        <v>-162342.0</v>
      </c>
      <c r="I6">
        <f>-Costs!I10</f>
        <v>-162930.0</v>
      </c>
      <c r="J6">
        <f>-Costs!J10</f>
        <v>-169624.0</v>
      </c>
      <c r="K6">
        <f>-Costs!K10</f>
        <v>-176622.0</v>
      </c>
      <c r="L6">
        <f>-Costs!L10</f>
        <v>-183890.0</v>
      </c>
      <c r="M6">
        <f>-Costs!M10</f>
        <v>-191449.0</v>
      </c>
      <c r="N6">
        <f>-Costs!N10</f>
        <v>-199321.0</v>
      </c>
      <c r="O6">
        <f>-Costs!O10</f>
        <v>-207509.0</v>
      </c>
      <c r="P6">
        <f>-Costs!P10</f>
        <v>-216015.0</v>
      </c>
      <c r="Q6">
        <f>-Costs!Q10</f>
        <v>-224910.0</v>
      </c>
      <c r="R6">
        <f>-Costs!R10</f>
        <v>-234170.0</v>
      </c>
      <c r="S6">
        <f>-Costs!S10</f>
        <v>-243817.0</v>
      </c>
      <c r="T6">
        <f>-Costs!T10</f>
        <v>-253874.0</v>
      </c>
      <c r="U6">
        <f>-Costs!U10</f>
        <v>-264306.0</v>
      </c>
      <c r="V6">
        <f>-Costs!V10</f>
        <v>-275174.0</v>
      </c>
      <c r="W6">
        <f>-Costs!W10</f>
        <v>-286502.0</v>
      </c>
      <c r="X6">
        <f>-Costs!X10</f>
        <v>-298275.0</v>
      </c>
      <c r="Y6">
        <f>-Costs!Y10</f>
        <v>-310535.0</v>
      </c>
      <c r="Z6">
        <f>-Costs!Z10</f>
        <v>-323287.0</v>
      </c>
      <c r="AA6">
        <f>SUM(C6:Z6)</f>
        <v>-5104938.0</v>
      </c>
    </row>
    <row r="7">
      <c r="A7" t="inlineStr">
        <is>
          <t>Gross profit</t>
        </is>
      </c>
      <c r="C7">
        <f>C5+C6</f>
        <v>384104.0</v>
      </c>
      <c r="D7">
        <f>D5+D6</f>
        <v>399865.0</v>
      </c>
      <c r="E7">
        <f>E5+E6</f>
        <v>416257.0</v>
      </c>
      <c r="F7">
        <f>F5+F6</f>
        <v>433396.0</v>
      </c>
      <c r="G7">
        <f>G5+G6</f>
        <v>451235.0</v>
      </c>
      <c r="H7">
        <f>H5+H6</f>
        <v>469831.0</v>
      </c>
      <c r="I7">
        <f>I5+I6</f>
        <v>471534.0</v>
      </c>
      <c r="J7">
        <f>J5+J6</f>
        <v>490905.0</v>
      </c>
      <c r="K7">
        <f>K5+K6</f>
        <v>511158.0</v>
      </c>
      <c r="L7">
        <f>L5+L6</f>
        <v>532192.0</v>
      </c>
      <c r="M7">
        <f>M5+M6</f>
        <v>554070.0</v>
      </c>
      <c r="N7">
        <f>N5+N6</f>
        <v>576853.0</v>
      </c>
      <c r="O7">
        <f>O5+O6</f>
        <v>600548.0</v>
      </c>
      <c r="P7">
        <f>P5+P6</f>
        <v>625164.0</v>
      </c>
      <c r="Q7">
        <f>Q5+Q6</f>
        <v>650908.0</v>
      </c>
      <c r="R7">
        <f>R5+R6</f>
        <v>677707.0</v>
      </c>
      <c r="S7">
        <f>S5+S6</f>
        <v>705626.0</v>
      </c>
      <c r="T7">
        <f>T5+T6</f>
        <v>734731.0</v>
      </c>
      <c r="U7">
        <f>U5+U6</f>
        <v>764922.0</v>
      </c>
      <c r="V7">
        <f>V5+V6</f>
        <v>796376.0</v>
      </c>
      <c r="W7">
        <f>W5+W6</f>
        <v>829161.0</v>
      </c>
      <c r="X7">
        <f>X5+X6</f>
        <v>863231.0</v>
      </c>
      <c r="Y7">
        <f>Y5+Y6</f>
        <v>898714.0</v>
      </c>
      <c r="Z7">
        <f>Z5+Z6</f>
        <v>935620.0</v>
      </c>
      <c r="AA7">
        <f>SUM(C7:Z7)</f>
        <v>14774108.0</v>
      </c>
    </row>
    <row r="8">
      <c r="A8" t="inlineStr">
        <is>
          <t>Gross margin</t>
        </is>
      </c>
      <c r="C8">
        <f>IF(C5=0,0,ROUND(C7/C5,4))</f>
        <v>0.7432</v>
      </c>
      <c r="D8">
        <f>IF(D5=0,0,ROUND(D7/D5,4))</f>
        <v>0.7432</v>
      </c>
      <c r="E8">
        <f>IF(E5=0,0,ROUND(E7/E5,4))</f>
        <v>0.7432</v>
      </c>
      <c r="F8">
        <f>IF(F5=0,0,ROUND(F7/F5,4))</f>
        <v>0.7432</v>
      </c>
      <c r="G8">
        <f>IF(G5=0,0,ROUND(G7/G5,4))</f>
        <v>0.7432</v>
      </c>
      <c r="H8">
        <f>IF(H5=0,0,ROUND(H7/H5,4))</f>
        <v>0.7432</v>
      </c>
      <c r="I8">
        <f>IF(I5=0,0,ROUND(I7/I5,4))</f>
        <v>0.7432</v>
      </c>
      <c r="J8">
        <f>IF(J5=0,0,ROUND(J7/J5,4))</f>
        <v>0.7432</v>
      </c>
      <c r="K8">
        <f>IF(K5=0,0,ROUND(K7/K5,4))</f>
        <v>0.7432</v>
      </c>
      <c r="L8">
        <f>IF(L5=0,0,ROUND(L7/L5,4))</f>
        <v>0.7432</v>
      </c>
      <c r="M8">
        <f>IF(M5=0,0,ROUND(M7/M5,4))</f>
        <v>0.7432</v>
      </c>
      <c r="N8">
        <f>IF(N5=0,0,ROUND(N7/N5,4))</f>
        <v>0.7432</v>
      </c>
      <c r="O8">
        <f>IF(O5=0,0,ROUND(O7/O5,4))</f>
        <v>0.7432</v>
      </c>
      <c r="P8">
        <f>IF(P5=0,0,ROUND(P7/P5,4))</f>
        <v>0.7432</v>
      </c>
      <c r="Q8">
        <f>IF(Q5=0,0,ROUND(Q7/Q5,4))</f>
        <v>0.7432</v>
      </c>
      <c r="R8">
        <f>IF(R5=0,0,ROUND(R7/R5,4))</f>
        <v>0.7432</v>
      </c>
      <c r="S8">
        <f>IF(S5=0,0,ROUND(S7/S5,4))</f>
        <v>0.7432</v>
      </c>
      <c r="T8">
        <f>IF(T5=0,0,ROUND(T7/T5,4))</f>
        <v>0.7432</v>
      </c>
      <c r="U8">
        <f>IF(U5=0,0,ROUND(U7/U5,4))</f>
        <v>0.7432</v>
      </c>
      <c r="V8">
        <f>IF(V5=0,0,ROUND(V7/V5,4))</f>
        <v>0.7432</v>
      </c>
      <c r="W8">
        <f>IF(W5=0,0,ROUND(W7/W5,4))</f>
        <v>0.7432</v>
      </c>
      <c r="X8">
        <f>IF(X5=0,0,ROUND(X7/X5,4))</f>
        <v>0.7432</v>
      </c>
      <c r="Y8">
        <f>IF(Y5=0,0,ROUND(Y7/Y5,4))</f>
        <v>0.7432</v>
      </c>
      <c r="Z8">
        <f>IF(Z5=0,0,ROUND(Z7/Z5,4))</f>
        <v>0.7432</v>
      </c>
    </row>
    <row r="10">
      <c r="A10" t="inlineStr">
        <is>
          <t>Staff costs</t>
        </is>
      </c>
      <c r="C10">
        <f>-Costs!C8</f>
        <v>-77133.0</v>
      </c>
      <c r="D10">
        <f>-Costs!D8</f>
        <v>-88152.0</v>
      </c>
      <c r="E10">
        <f>-Costs!E8</f>
        <v>-99171.0</v>
      </c>
      <c r="F10">
        <f>-Costs!F8</f>
        <v>-110190.0</v>
      </c>
      <c r="G10">
        <f>-Costs!G8</f>
        <v>-121209.0</v>
      </c>
      <c r="H10">
        <f>-Costs!H8</f>
        <v>-132228.0</v>
      </c>
      <c r="I10">
        <f>-Costs!I8</f>
        <v>-143247.0</v>
      </c>
      <c r="J10">
        <f>-Costs!J8</f>
        <v>-154266.0</v>
      </c>
      <c r="K10">
        <f>-Costs!K8</f>
        <v>-165285.0</v>
      </c>
      <c r="L10">
        <f>-Costs!L8</f>
        <v>-176304.0</v>
      </c>
      <c r="M10">
        <f>-Costs!M8</f>
        <v>-187323.0</v>
      </c>
      <c r="N10">
        <f>-Costs!N8</f>
        <v>-198342.0</v>
      </c>
      <c r="O10">
        <f>-Costs!O8</f>
        <v>-209361.0</v>
      </c>
      <c r="P10">
        <f>-Costs!P8</f>
        <v>-220380.0</v>
      </c>
      <c r="Q10">
        <f>-Costs!Q8</f>
        <v>-231399.0</v>
      </c>
      <c r="R10">
        <f>-Costs!R8</f>
        <v>-242418.0</v>
      </c>
      <c r="S10">
        <f>-Costs!S8</f>
        <v>-253437.0</v>
      </c>
      <c r="T10">
        <f>-Costs!T8</f>
        <v>-264456.0</v>
      </c>
      <c r="U10">
        <f>-Costs!U8</f>
        <v>-275475.0</v>
      </c>
      <c r="V10">
        <f>-Costs!V8</f>
        <v>-286494.0</v>
      </c>
      <c r="W10">
        <f>-Costs!W8</f>
        <v>-297513.0</v>
      </c>
      <c r="X10">
        <f>-Costs!X8</f>
        <v>-308532.0</v>
      </c>
      <c r="Y10">
        <f>-Costs!Y8</f>
        <v>-319551.0</v>
      </c>
      <c r="Z10">
        <f>-Costs!Z8</f>
        <v>-330570.0</v>
      </c>
      <c r="AA10">
        <f>SUM(C10:Z10)</f>
        <v>-4892436.0</v>
      </c>
    </row>
    <row r="11">
      <c r="A11" t="inlineStr">
        <is>
          <t>Marketing</t>
        </is>
      </c>
      <c r="C11">
        <f>-Costs!C11</f>
        <v>-62071.0</v>
      </c>
      <c r="D11">
        <f>-Costs!D11</f>
        <v>-64618.0</v>
      </c>
      <c r="E11">
        <f>-Costs!E11</f>
        <v>-67266.0</v>
      </c>
      <c r="F11">
        <f>-Costs!F11</f>
        <v>-70036.0</v>
      </c>
      <c r="G11">
        <f>-Costs!G11</f>
        <v>-72919.0</v>
      </c>
      <c r="H11">
        <f>-Costs!H11</f>
        <v>-75924.0</v>
      </c>
      <c r="I11">
        <f>-Costs!I11</f>
        <v>-76199.0</v>
      </c>
      <c r="J11">
        <f>-Costs!J11</f>
        <v>-79330.0</v>
      </c>
      <c r="K11">
        <f>-Costs!K11</f>
        <v>-82602.0</v>
      </c>
      <c r="L11">
        <f>-Costs!L11</f>
        <v>-86001.0</v>
      </c>
      <c r="M11">
        <f>-Costs!M11</f>
        <v>-89537.0</v>
      </c>
      <c r="N11">
        <f>-Costs!N11</f>
        <v>-93218.0</v>
      </c>
      <c r="O11">
        <f>-Costs!O11</f>
        <v>-97048.0</v>
      </c>
      <c r="P11">
        <f>-Costs!P11</f>
        <v>-101026.0</v>
      </c>
      <c r="Q11">
        <f>-Costs!Q11</f>
        <v>-105186.0</v>
      </c>
      <c r="R11">
        <f>-Costs!R11</f>
        <v>-109516.0</v>
      </c>
      <c r="S11">
        <f>-Costs!S11</f>
        <v>-114028.0</v>
      </c>
      <c r="T11">
        <f>-Costs!T11</f>
        <v>-118731.0</v>
      </c>
      <c r="U11">
        <f>-Costs!U11</f>
        <v>-123610.0</v>
      </c>
      <c r="V11">
        <f>-Costs!V11</f>
        <v>-128693.0</v>
      </c>
      <c r="W11">
        <f>-Costs!W11</f>
        <v>-133991.0</v>
      </c>
      <c r="X11">
        <f>-Costs!X11</f>
        <v>-139497.0</v>
      </c>
      <c r="Y11">
        <f>-Costs!Y11</f>
        <v>-145231.0</v>
      </c>
      <c r="Z11">
        <f>-Costs!Z11</f>
        <v>-151195.0</v>
      </c>
      <c r="AA11">
        <f>SUM(C11:Z11)</f>
        <v>-2387473.0</v>
      </c>
    </row>
    <row r="12">
      <c r="A12" t="inlineStr">
        <is>
          <t>Overhead</t>
        </is>
      </c>
      <c r="C12">
        <f>-Costs!C12</f>
        <v>-25500.0</v>
      </c>
      <c r="D12">
        <f>-Costs!D12</f>
        <v>-25668.0</v>
      </c>
      <c r="E12">
        <f>-Costs!E12</f>
        <v>-25837.0</v>
      </c>
      <c r="F12">
        <f>-Costs!F12</f>
        <v>-26008.0</v>
      </c>
      <c r="G12">
        <f>-Costs!G12</f>
        <v>-26180.0</v>
      </c>
      <c r="H12">
        <f>-Costs!H12</f>
        <v>-26353.0</v>
      </c>
      <c r="I12">
        <f>-Costs!I12</f>
        <v>-26527.0</v>
      </c>
      <c r="J12">
        <f>-Costs!J12</f>
        <v>-26702.0</v>
      </c>
      <c r="K12">
        <f>-Costs!K12</f>
        <v>-26878.0</v>
      </c>
      <c r="L12">
        <f>-Costs!L12</f>
        <v>-27055.0</v>
      </c>
      <c r="M12">
        <f>-Costs!M12</f>
        <v>-27234.0</v>
      </c>
      <c r="N12">
        <f>-Costs!N12</f>
        <v>-27414.0</v>
      </c>
      <c r="O12">
        <f>-Costs!O12</f>
        <v>-27595.0</v>
      </c>
      <c r="P12">
        <f>-Costs!P12</f>
        <v>-27777.0</v>
      </c>
      <c r="Q12">
        <f>-Costs!Q12</f>
        <v>-27960.0</v>
      </c>
      <c r="R12">
        <f>-Costs!R12</f>
        <v>-28145.0</v>
      </c>
      <c r="S12">
        <f>-Costs!S12</f>
        <v>-28331.0</v>
      </c>
      <c r="T12">
        <f>-Costs!T12</f>
        <v>-28518.0</v>
      </c>
      <c r="U12">
        <f>-Costs!U12</f>
        <v>-28706.0</v>
      </c>
      <c r="V12">
        <f>-Costs!V12</f>
        <v>-28895.0</v>
      </c>
      <c r="W12">
        <f>-Costs!W12</f>
        <v>-29086.0</v>
      </c>
      <c r="X12">
        <f>-Costs!X12</f>
        <v>-29278.0</v>
      </c>
      <c r="Y12">
        <f>-Costs!Y12</f>
        <v>-29471.0</v>
      </c>
      <c r="Z12">
        <f>-Costs!Z12</f>
        <v>-29666.0</v>
      </c>
      <c r="AA12">
        <f>SUM(C12:Z12)</f>
        <v>-660784.0</v>
      </c>
    </row>
    <row r="13">
      <c r="A13" t="inlineStr">
        <is>
          <t>Total operating costs</t>
        </is>
      </c>
      <c r="C13">
        <f>C10+C11+C12</f>
        <v>-164704.0</v>
      </c>
      <c r="D13">
        <f>D10+D11+D12</f>
        <v>-178438.0</v>
      </c>
      <c r="E13">
        <f>E10+E11+E12</f>
        <v>-192274.0</v>
      </c>
      <c r="F13">
        <f>F10+F11+F12</f>
        <v>-206234.0</v>
      </c>
      <c r="G13">
        <f>G10+G11+G12</f>
        <v>-220308.0</v>
      </c>
      <c r="H13">
        <f>H10+H11+H12</f>
        <v>-234505.0</v>
      </c>
      <c r="I13">
        <f>I10+I11+I12</f>
        <v>-245973.0</v>
      </c>
      <c r="J13">
        <f>J10+J11+J12</f>
        <v>-260298.0</v>
      </c>
      <c r="K13">
        <f>K10+K11+K12</f>
        <v>-274765.0</v>
      </c>
      <c r="L13">
        <f>L10+L11+L12</f>
        <v>-289360.0</v>
      </c>
      <c r="M13">
        <f>M10+M11+M12</f>
        <v>-304094.0</v>
      </c>
      <c r="N13">
        <f>N10+N11+N12</f>
        <v>-318974.0</v>
      </c>
      <c r="O13">
        <f>O10+O11+O12</f>
        <v>-334004.0</v>
      </c>
      <c r="P13">
        <f>P10+P11+P12</f>
        <v>-349183.0</v>
      </c>
      <c r="Q13">
        <f>Q10+Q11+Q12</f>
        <v>-364545.0</v>
      </c>
      <c r="R13">
        <f>R10+R11+R12</f>
        <v>-380079.0</v>
      </c>
      <c r="S13">
        <f>S10+S11+S12</f>
        <v>-395796.0</v>
      </c>
      <c r="T13">
        <f>T10+T11+T12</f>
        <v>-411705.0</v>
      </c>
      <c r="U13">
        <f>U10+U11+U12</f>
        <v>-427791.0</v>
      </c>
      <c r="V13">
        <f>V10+V11+V12</f>
        <v>-444082.0</v>
      </c>
      <c r="W13">
        <f>W10+W11+W12</f>
        <v>-460590.0</v>
      </c>
      <c r="X13">
        <f>X10+X11+X12</f>
        <v>-477307.0</v>
      </c>
      <c r="Y13">
        <f>Y10+Y11+Y12</f>
        <v>-494253.0</v>
      </c>
      <c r="Z13">
        <f>Z10+Z11+Z12</f>
        <v>-511431.0</v>
      </c>
      <c r="AA13">
        <f>SUM(C13:Z13)</f>
        <v>-7940693.0</v>
      </c>
    </row>
    <row r="15">
      <c r="A15" t="inlineStr">
        <is>
          <t>EBITDA</t>
        </is>
      </c>
      <c r="C15">
        <f>C7+C13</f>
        <v>219400.0</v>
      </c>
      <c r="D15">
        <f>D7+D13</f>
        <v>221427.0</v>
      </c>
      <c r="E15">
        <f>E7+E13</f>
        <v>223983.0</v>
      </c>
      <c r="F15">
        <f>F7+F13</f>
        <v>227162.0</v>
      </c>
      <c r="G15">
        <f>G7+G13</f>
        <v>230927.0</v>
      </c>
      <c r="H15">
        <f>H7+H13</f>
        <v>235326.0</v>
      </c>
      <c r="I15">
        <f>I7+I13</f>
        <v>225561.0</v>
      </c>
      <c r="J15">
        <f>J7+J13</f>
        <v>230607.0</v>
      </c>
      <c r="K15">
        <f>K7+K13</f>
        <v>236393.0</v>
      </c>
      <c r="L15">
        <f>L7+L13</f>
        <v>242832.0</v>
      </c>
      <c r="M15">
        <f>M7+M13</f>
        <v>249976.0</v>
      </c>
      <c r="N15">
        <f>N7+N13</f>
        <v>257879.0</v>
      </c>
      <c r="O15">
        <f>O7+O13</f>
        <v>266544.0</v>
      </c>
      <c r="P15">
        <f>P7+P13</f>
        <v>275981.0</v>
      </c>
      <c r="Q15">
        <f>Q7+Q13</f>
        <v>286363.0</v>
      </c>
      <c r="R15">
        <f>R7+R13</f>
        <v>297628.0</v>
      </c>
      <c r="S15">
        <f>S7+S13</f>
        <v>309830.0</v>
      </c>
      <c r="T15">
        <f>T7+T13</f>
        <v>323026.0</v>
      </c>
      <c r="U15">
        <f>U7+U13</f>
        <v>337131.0</v>
      </c>
      <c r="V15">
        <f>V7+V13</f>
        <v>352294.0</v>
      </c>
      <c r="W15">
        <f>W7+W13</f>
        <v>368571.0</v>
      </c>
      <c r="X15">
        <f>X7+X13</f>
        <v>385924.0</v>
      </c>
      <c r="Y15">
        <f>Y7+Y13</f>
        <v>404461.0</v>
      </c>
      <c r="Z15">
        <f>Z7+Z13</f>
        <v>424189.0</v>
      </c>
      <c r="AA15">
        <f>SUM(C15:Z15)</f>
        <v>6833415.0</v>
      </c>
    </row>
    <row r="16">
      <c r="A16" t="inlineStr">
        <is>
          <t>EBITDA margin</t>
        </is>
      </c>
      <c r="C16">
        <f>IF(C5=0,0,ROUND(C15/C5,4))</f>
        <v>0.4245</v>
      </c>
      <c r="D16">
        <f>IF(D5=0,0,ROUND(D15/D5,4))</f>
        <v>0.4115</v>
      </c>
      <c r="E16">
        <f>IF(E5=0,0,ROUND(E15/E5,4))</f>
        <v>0.3999</v>
      </c>
      <c r="F16">
        <f>IF(F5=0,0,ROUND(F15/F5,4))</f>
        <v>0.3895</v>
      </c>
      <c r="G16">
        <f>IF(G5=0,0,ROUND(G15/G5,4))</f>
        <v>0.3803</v>
      </c>
      <c r="H16">
        <f>IF(H5=0,0,ROUND(H15/H5,4))</f>
        <v>0.3722</v>
      </c>
      <c r="I16">
        <f>IF(I5=0,0,ROUND(I15/I5,4))</f>
        <v>0.3555</v>
      </c>
      <c r="J16">
        <f>IF(J5=0,0,ROUND(J15/J5,4))</f>
        <v>0.3491</v>
      </c>
      <c r="K16">
        <f>IF(K5=0,0,ROUND(K15/K5,4))</f>
        <v>0.3437</v>
      </c>
      <c r="L16">
        <f>IF(L5=0,0,ROUND(L15/L5,4))</f>
        <v>0.3391</v>
      </c>
      <c r="M16">
        <f>IF(M5=0,0,ROUND(M15/M5,4))</f>
        <v>0.3353</v>
      </c>
      <c r="N16">
        <f>IF(N5=0,0,ROUND(N15/N5,4))</f>
        <v>0.3322</v>
      </c>
      <c r="O16">
        <f>IF(O5=0,0,ROUND(O15/O5,4))</f>
        <v>0.3299</v>
      </c>
      <c r="P16">
        <f>IF(P5=0,0,ROUND(P15/P5,4))</f>
        <v>0.3281</v>
      </c>
      <c r="Q16">
        <f>IF(Q5=0,0,ROUND(Q15/Q5,4))</f>
        <v>0.327</v>
      </c>
      <c r="R16">
        <f>IF(R5=0,0,ROUND(R15/R5,4))</f>
        <v>0.3264</v>
      </c>
      <c r="S16">
        <f>IF(S5=0,0,ROUND(S15/S5,4))</f>
        <v>0.3263</v>
      </c>
      <c r="T16">
        <f>IF(T5=0,0,ROUND(T15/T5,4))</f>
        <v>0.3267</v>
      </c>
      <c r="U16">
        <f>IF(U5=0,0,ROUND(U15/U5,4))</f>
        <v>0.3276</v>
      </c>
      <c r="V16">
        <f>IF(V5=0,0,ROUND(V15/V5,4))</f>
        <v>0.3288</v>
      </c>
      <c r="W16">
        <f>IF(W5=0,0,ROUND(W15/W5,4))</f>
        <v>0.3304</v>
      </c>
      <c r="X16">
        <f>IF(X5=0,0,ROUND(X15/X5,4))</f>
        <v>0.3323</v>
      </c>
      <c r="Y16">
        <f>IF(Y5=0,0,ROUND(Y15/Y5,4))</f>
        <v>0.3345</v>
      </c>
      <c r="Z16">
        <f>IF(Z5=0,0,ROUND(Z15/Z5,4))</f>
        <v>0.337</v>
      </c>
    </row>
    <row r="18">
      <c r="A18" t="inlineStr">
        <is>
          <t>Cumulative EBITDA</t>
        </is>
      </c>
      <c r="C18">
        <f>C15</f>
        <v>219400.0</v>
      </c>
      <c r="D18">
        <f>C18+D15</f>
        <v>440827.0</v>
      </c>
      <c r="E18">
        <f>D18+E15</f>
        <v>664810.0</v>
      </c>
      <c r="F18">
        <f>E18+F15</f>
        <v>891972.0</v>
      </c>
      <c r="G18">
        <f>F18+G15</f>
        <v>1122899.0</v>
      </c>
      <c r="H18">
        <f>G18+H15</f>
        <v>1358225.0</v>
      </c>
      <c r="I18">
        <f>H18+I15</f>
        <v>1583786.0</v>
      </c>
      <c r="J18">
        <f>I18+J15</f>
        <v>1814393.0</v>
      </c>
      <c r="K18">
        <f>J18+K15</f>
        <v>2050786.0</v>
      </c>
      <c r="L18">
        <f>K18+L15</f>
        <v>2293618.0</v>
      </c>
      <c r="M18">
        <f>L18+M15</f>
        <v>2543594.0</v>
      </c>
      <c r="N18">
        <f>M18+N15</f>
        <v>2801473.0</v>
      </c>
      <c r="O18">
        <f>N18+O15</f>
        <v>3068017.0</v>
      </c>
      <c r="P18">
        <f>O18+P15</f>
        <v>3343998.0</v>
      </c>
      <c r="Q18">
        <f>P18+Q15</f>
        <v>3630361.0</v>
      </c>
      <c r="R18">
        <f>Q18+R15</f>
        <v>3927989.0</v>
      </c>
      <c r="S18">
        <f>R18+S15</f>
        <v>4237819.0</v>
      </c>
      <c r="T18">
        <f>S18+T15</f>
        <v>4560845.0</v>
      </c>
      <c r="U18">
        <f>T18+U15</f>
        <v>4897976.0</v>
      </c>
      <c r="V18">
        <f>U18+V15</f>
        <v>5250270.0</v>
      </c>
      <c r="W18">
        <f>V18+W15</f>
        <v>5618841.0</v>
      </c>
      <c r="X18">
        <f>W18+X15</f>
        <v>6004765.0</v>
      </c>
      <c r="Y18">
        <f>X18+Y15</f>
        <v>6409226.0</v>
      </c>
      <c r="Z18">
        <f>Y18+Z15</f>
        <v>6833415.0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Valuation</t>
        </is>
      </c>
    </row>
    <row r="3">
      <c r="A3" t="inlineStr">
        <is>
          <t>Total revenue</t>
        </is>
      </c>
      <c r="B3">
        <f>Revenue!Z17</f>
        <v>19879046.0</v>
      </c>
    </row>
    <row r="4">
      <c r="A4" t="inlineStr">
        <is>
          <t>Total EBITDA</t>
        </is>
      </c>
      <c r="B4">
        <f>'P&amp;L'!AA15</f>
        <v>6833415.0</v>
      </c>
    </row>
    <row r="5">
      <c r="A5" t="inlineStr">
        <is>
          <t>Exit run rate EBITDA</t>
        </is>
      </c>
      <c r="B5">
        <f>SUM('P&amp;L'!O15:Z15)</f>
        <v>4031942.0</v>
      </c>
    </row>
    <row r="6">
      <c r="A6" t="inlineStr">
        <is>
          <t>EBITDA multiple</t>
        </is>
      </c>
      <c r="B6">
        <f>Assumptions!$B$21</f>
        <v>12.5</v>
      </c>
    </row>
    <row r="7">
      <c r="A7" t="inlineStr">
        <is>
          <t>Enterprise value</t>
        </is>
      </c>
      <c r="B7">
        <f>ROUND(B5*B6,0)</f>
        <v>50399275.0</v>
      </c>
    </row>
    <row r="8">
      <c r="A8" t="inlineStr">
        <is>
          <t>Net debt</t>
        </is>
      </c>
      <c r="B8">
        <f>Assumptions!$B$22</f>
        <v>1950000.0</v>
      </c>
    </row>
    <row r="9">
      <c r="A9" t="inlineStr">
        <is>
          <t>Equity value</t>
        </is>
      </c>
      <c r="B9">
        <f>B7-B8</f>
        <v>48449275.0</v>
      </c>
    </row>
    <row r="11">
      <c r="A11" t="inlineStr">
        <is>
          <t>Average monthly EBITDA</t>
        </is>
      </c>
      <c r="B11">
        <f>AVERAGE('P&amp;L'!C15:Z15)</f>
        <v>284725.625</v>
      </c>
    </row>
    <row r="12">
      <c r="A12" t="inlineStr">
        <is>
          <t>Best month</t>
        </is>
      </c>
      <c r="B12">
        <f>MAX('P&amp;L'!C15:Z15)</f>
        <v>424189.0</v>
      </c>
    </row>
    <row r="13">
      <c r="A13" t="inlineStr">
        <is>
          <t>Worst month</t>
        </is>
      </c>
      <c r="B13">
        <f>MIN('P&amp;L'!C15:Z15)</f>
        <v>219400.0</v>
      </c>
    </row>
    <row r="14">
      <c r="A14" t="inlineStr">
        <is>
          <t>Sum of positive months</t>
        </is>
      </c>
      <c r="B14">
        <f>SUMIF('P&amp;L'!C15:Z15,"&gt;0")</f>
        <v>6833415.0</v>
      </c>
    </row>
    <row r="15">
      <c r="A15" t="inlineStr">
        <is>
          <t>Best to worst swing</t>
        </is>
      </c>
      <c r="B15">
        <f>ABS(B12-B13)</f>
        <v>204789.0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materia</dc:creator>
  <dcterms:created xsi:type="dcterms:W3CDTF">1980-01-01T00:00:00Z</dcterms:created>
  <dcterms:modified xsi:type="dcterms:W3CDTF">1980-01-01T00:00:00Z</dcterms:modified>
  <cp:lastModifiedBy>materia</cp:lastModifiedBy>
</cp:coreProperties>
</file>