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osts" sheetId="3" state="visible" r:id="rId3"/>
    <sheet name="P&amp;L" sheetId="4" state="visible" r:id="rId4"/>
    <sheet name="Valu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Assumptions</t>
        </is>
      </c>
    </row>
    <row r="3">
      <c r="A3" t="inlineStr">
        <is>
          <t>Revenue drivers</t>
        </is>
      </c>
    </row>
    <row r="4">
      <c r="A4" t="inlineStr">
        <is>
          <t>Opening customers</t>
        </is>
      </c>
      <c r="B4" t="n">
        <v>10700</v>
      </c>
    </row>
    <row r="5">
      <c r="A5" t="inlineStr">
        <is>
          <t>Monthly new customer rate</t>
        </is>
      </c>
      <c r="B5" t="n">
        <v>0.0582</v>
      </c>
    </row>
    <row r="6">
      <c r="A6" t="inlineStr">
        <is>
          <t>Monthly churn rate</t>
        </is>
      </c>
      <c r="B6" t="n">
        <v>0.0211</v>
      </c>
    </row>
    <row r="7">
      <c r="A7" t="inlineStr">
        <is>
          <t>Opening ARPU</t>
        </is>
      </c>
      <c r="B7" t="n">
        <v>68.17</v>
      </c>
    </row>
    <row r="8">
      <c r="A8" t="inlineStr">
        <is>
          <t>Monthly ARPU uplift</t>
        </is>
      </c>
      <c r="B8" t="n">
        <v>0.0075</v>
      </c>
    </row>
    <row r="10">
      <c r="A10" t="inlineStr">
        <is>
          <t>Cost drivers</t>
        </is>
      </c>
    </row>
    <row r="11">
      <c r="A11" t="inlineStr">
        <is>
          <t>COGS as share of revenue</t>
        </is>
      </c>
      <c r="B11" t="n">
        <v>0.1911</v>
      </c>
    </row>
    <row r="12">
      <c r="A12" t="inlineStr">
        <is>
          <t>Opening headcount</t>
        </is>
      </c>
      <c r="B12" t="n">
        <v>18</v>
      </c>
    </row>
    <row r="13">
      <c r="A13" t="inlineStr">
        <is>
          <t>New hires per month</t>
        </is>
      </c>
      <c r="B13" t="n">
        <v>2</v>
      </c>
    </row>
    <row r="14">
      <c r="A14" t="inlineStr">
        <is>
          <t>Average salary</t>
        </is>
      </c>
      <c r="B14" t="n">
        <v>70000</v>
      </c>
    </row>
    <row r="15">
      <c r="A15" t="inlineStr">
        <is>
          <t>Payroll tax rate</t>
        </is>
      </c>
      <c r="B15" t="n">
        <v>0.1177</v>
      </c>
    </row>
    <row r="16">
      <c r="A16" t="inlineStr">
        <is>
          <t>Marketing as share of revenue</t>
        </is>
      </c>
      <c r="B16" t="n">
        <v>0.113</v>
      </c>
    </row>
    <row r="17">
      <c r="A17" t="inlineStr">
        <is>
          <t>Monthly overhead</t>
        </is>
      </c>
      <c r="B17" t="n">
        <v>35000</v>
      </c>
    </row>
    <row r="18">
      <c r="A18" t="inlineStr">
        <is>
          <t>Monthly overhead inflation</t>
        </is>
      </c>
      <c r="B18" t="n">
        <v>0.008</v>
      </c>
    </row>
    <row r="20">
      <c r="A20" t="inlineStr">
        <is>
          <t>Valuation drivers</t>
        </is>
      </c>
    </row>
    <row r="21">
      <c r="A21" t="inlineStr">
        <is>
          <t>EBITDA multiple</t>
        </is>
      </c>
      <c r="B21" t="n">
        <v>9.1</v>
      </c>
    </row>
    <row r="22">
      <c r="A22" t="inlineStr">
        <is>
          <t>Net debt</t>
        </is>
      </c>
      <c r="B22" t="n">
        <v>4300000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Revenue build</t>
        </is>
      </c>
    </row>
    <row r="3">
      <c r="A3" t="inlineStr">
        <is>
          <t>Month</t>
        </is>
      </c>
      <c r="C3" t="n">
        <v>1</v>
      </c>
      <c r="D3">
        <f>C3+1</f>
        <v>2.0</v>
      </c>
      <c r="E3">
        <f>D3+1</f>
        <v>3.0</v>
      </c>
      <c r="F3">
        <f>E3+1</f>
        <v>4.0</v>
      </c>
      <c r="G3">
        <f>F3+1</f>
        <v>5.0</v>
      </c>
      <c r="H3">
        <f>G3+1</f>
        <v>6.0</v>
      </c>
      <c r="I3">
        <f>H3+1</f>
        <v>7.0</v>
      </c>
      <c r="J3">
        <f>I3+1</f>
        <v>8.0</v>
      </c>
      <c r="K3">
        <f>J3+1</f>
        <v>9.0</v>
      </c>
      <c r="L3">
        <f>K3+1</f>
        <v>10.0</v>
      </c>
      <c r="M3">
        <f>L3+1</f>
        <v>11.0</v>
      </c>
      <c r="N3">
        <f>M3+1</f>
        <v>12.0</v>
      </c>
      <c r="O3">
        <f>N3+1</f>
        <v>13.0</v>
      </c>
      <c r="P3">
        <f>O3+1</f>
        <v>14.0</v>
      </c>
      <c r="Q3">
        <f>P3+1</f>
        <v>15.0</v>
      </c>
      <c r="R3">
        <f>Q3+1</f>
        <v>16.0</v>
      </c>
      <c r="S3">
        <f>R3+1</f>
        <v>17.0</v>
      </c>
      <c r="T3">
        <f>S3+1</f>
        <v>18.0</v>
      </c>
      <c r="U3">
        <f>T3+1</f>
        <v>19.0</v>
      </c>
      <c r="V3">
        <f>U3+1</f>
        <v>20.0</v>
      </c>
      <c r="W3">
        <f>V3+1</f>
        <v>21.0</v>
      </c>
      <c r="X3">
        <f>W3+1</f>
        <v>22.0</v>
      </c>
      <c r="Y3">
        <f>X3+1</f>
        <v>23.0</v>
      </c>
      <c r="Z3">
        <f>Y3+1</f>
        <v>24.0</v>
      </c>
    </row>
    <row r="5">
      <c r="A5" t="inlineStr">
        <is>
          <t>Opening customers</t>
        </is>
      </c>
      <c r="C5">
        <f>Assumptions!$B$4</f>
        <v>10700.0</v>
      </c>
      <c r="D5">
        <f>C9</f>
        <v>11097.0</v>
      </c>
      <c r="E5">
        <f>D9</f>
        <v>11509.0</v>
      </c>
      <c r="F5">
        <f>E9</f>
        <v>11936.0</v>
      </c>
      <c r="G5">
        <f>F9</f>
        <v>12379.0</v>
      </c>
      <c r="H5">
        <f>G9</f>
        <v>12838.0</v>
      </c>
      <c r="I5">
        <f>H9</f>
        <v>13314.0</v>
      </c>
      <c r="J5">
        <f>I9</f>
        <v>13808.0</v>
      </c>
      <c r="K5">
        <f>J9</f>
        <v>14321.0</v>
      </c>
      <c r="L5">
        <f>K9</f>
        <v>14852.0</v>
      </c>
      <c r="M5">
        <f>L9</f>
        <v>15403.0</v>
      </c>
      <c r="N5">
        <f>M9</f>
        <v>15974.0</v>
      </c>
      <c r="O5">
        <f>N9</f>
        <v>16567.0</v>
      </c>
      <c r="P5">
        <f>O9</f>
        <v>17181.0</v>
      </c>
      <c r="Q5">
        <f>P9</f>
        <v>17818.0</v>
      </c>
      <c r="R5">
        <f>Q9</f>
        <v>18479.0</v>
      </c>
      <c r="S5">
        <f>R9</f>
        <v>19164.0</v>
      </c>
      <c r="T5">
        <f>S9</f>
        <v>19875.0</v>
      </c>
      <c r="U5">
        <f>T9</f>
        <v>20613.0</v>
      </c>
      <c r="V5">
        <f>U9</f>
        <v>21378.0</v>
      </c>
      <c r="W5">
        <f>V9</f>
        <v>22171.0</v>
      </c>
      <c r="X5">
        <f>W9</f>
        <v>22993.0</v>
      </c>
      <c r="Y5">
        <f>X9</f>
        <v>23846.0</v>
      </c>
      <c r="Z5">
        <f>Y9</f>
        <v>24731.0</v>
      </c>
    </row>
    <row r="6">
      <c r="A6" t="inlineStr">
        <is>
          <t>New customers</t>
        </is>
      </c>
      <c r="C6">
        <f>ROUND(C5*Assumptions!$B$5,0)</f>
        <v>623.0</v>
      </c>
      <c r="D6">
        <f>ROUND(D5*Assumptions!$B$5,0)</f>
        <v>646.0</v>
      </c>
      <c r="E6">
        <f>ROUND(E5*Assumptions!$B$5,0)</f>
        <v>670.0</v>
      </c>
      <c r="F6">
        <f>ROUND(F5*Assumptions!$B$5,0)</f>
        <v>695.0</v>
      </c>
      <c r="G6">
        <f>ROUND(G5*Assumptions!$B$5,0)</f>
        <v>720.0</v>
      </c>
      <c r="H6">
        <f>ROUND(H5*Assumptions!$B$5,0)</f>
        <v>747.0</v>
      </c>
      <c r="I6">
        <f>ROUND(I5*Assumptions!$B$5,0)</f>
        <v>775.0</v>
      </c>
      <c r="J6">
        <f>ROUND(J5*Assumptions!$B$5,0)</f>
        <v>804.0</v>
      </c>
      <c r="K6">
        <f>ROUND(K5*Assumptions!$B$5,0)</f>
        <v>833.0</v>
      </c>
      <c r="L6">
        <f>ROUND(L5*Assumptions!$B$5,0)</f>
        <v>864.0</v>
      </c>
      <c r="M6">
        <f>ROUND(M5*Assumptions!$B$5,0)</f>
        <v>896.0</v>
      </c>
      <c r="N6">
        <f>ROUND(N5*Assumptions!$B$5,0)</f>
        <v>930.0</v>
      </c>
      <c r="O6">
        <f>ROUND(O5*Assumptions!$B$5,0)</f>
        <v>964.0</v>
      </c>
      <c r="P6">
        <f>ROUND(P5*Assumptions!$B$5,0)</f>
        <v>1000.0</v>
      </c>
      <c r="Q6">
        <f>ROUND(Q5*Assumptions!$B$5,0)</f>
        <v>1037.0</v>
      </c>
      <c r="R6">
        <f>ROUND(R5*Assumptions!$B$5,0)</f>
        <v>1075.0</v>
      </c>
      <c r="S6">
        <f>ROUND(S5*Assumptions!$B$5,0)</f>
        <v>1115.0</v>
      </c>
      <c r="T6">
        <f>ROUND(T5*Assumptions!$B$5,0)</f>
        <v>1157.0</v>
      </c>
      <c r="U6">
        <f>ROUND(U5*Assumptions!$B$5,0)</f>
        <v>1200.0</v>
      </c>
      <c r="V6">
        <f>ROUND(V5*Assumptions!$B$5,0)</f>
        <v>1244.0</v>
      </c>
      <c r="W6">
        <f>ROUND(W5*Assumptions!$B$5,0)</f>
        <v>1290.0</v>
      </c>
      <c r="X6">
        <f>ROUND(X5*Assumptions!$B$5,0)</f>
        <v>1338.0</v>
      </c>
      <c r="Y6">
        <f>ROUND(Y5*Assumptions!$B$5,0)</f>
        <v>1388.0</v>
      </c>
      <c r="Z6">
        <f>ROUND(Z5*Assumptions!$B$5,0)</f>
        <v>1439.0</v>
      </c>
    </row>
    <row r="7">
      <c r="A7" t="inlineStr">
        <is>
          <t>Churned customers</t>
        </is>
      </c>
      <c r="C7">
        <f>-ROUND(C5*Assumptions!$B$6,0)</f>
        <v>-226.0</v>
      </c>
      <c r="D7">
        <f>-ROUND(D5*Assumptions!$B$6,0)</f>
        <v>-234.0</v>
      </c>
      <c r="E7">
        <f>-ROUND(E5*Assumptions!$B$6,0)</f>
        <v>-243.0</v>
      </c>
      <c r="F7">
        <f>-ROUND(F5*Assumptions!$B$6,0)</f>
        <v>-252.0</v>
      </c>
      <c r="G7">
        <f>-ROUND(G5*Assumptions!$B$6,0)</f>
        <v>-261.0</v>
      </c>
      <c r="H7">
        <f>-ROUND(H5*Assumptions!$B$6,0)</f>
        <v>-271.0</v>
      </c>
      <c r="I7">
        <f>-ROUND(I5*Assumptions!$B$6,0)</f>
        <v>-281.0</v>
      </c>
      <c r="J7">
        <f>-ROUND(J5*Assumptions!$B$6,0)</f>
        <v>-291.0</v>
      </c>
      <c r="K7">
        <f>-ROUND(K5*Assumptions!$B$6,0)</f>
        <v>-302.0</v>
      </c>
      <c r="L7">
        <f>-ROUND(L5*Assumptions!$B$6,0)</f>
        <v>-313.0</v>
      </c>
      <c r="M7">
        <f>-ROUND(M5*Assumptions!$B$6,0)</f>
        <v>-325.0</v>
      </c>
      <c r="N7">
        <f>-ROUND(N5*Assumptions!$B$6,0)</f>
        <v>-337.0</v>
      </c>
      <c r="O7">
        <f>-ROUND(O5*Assumptions!$B$6,0)</f>
        <v>-350.0</v>
      </c>
      <c r="P7">
        <f>-ROUND(P5*Assumptions!$B$6,0)</f>
        <v>-363.0</v>
      </c>
      <c r="Q7">
        <f>-ROUND(Q5*Assumptions!$B$6,0)</f>
        <v>-376.0</v>
      </c>
      <c r="R7">
        <f>-ROUND(R5*Assumptions!$B$6,0)</f>
        <v>-390.0</v>
      </c>
      <c r="S7">
        <f>-ROUND(S5*Assumptions!$B$6,0)</f>
        <v>-404.0</v>
      </c>
      <c r="T7">
        <f>-ROUND(T5*Assumptions!$B$6,0)</f>
        <v>-419.0</v>
      </c>
      <c r="U7">
        <f>-ROUND(U5*Assumptions!$B$6,0)</f>
        <v>-435.0</v>
      </c>
      <c r="V7">
        <f>-ROUND(V5*Assumptions!$B$6,0)</f>
        <v>-451.0</v>
      </c>
      <c r="W7">
        <f>-ROUND(W5*Assumptions!$B$6,0)</f>
        <v>-468.0</v>
      </c>
      <c r="X7">
        <f>-ROUND(X5*Assumptions!$B$6,0)</f>
        <v>-485.0</v>
      </c>
      <c r="Y7">
        <f>-ROUND(Y5*Assumptions!$B$6,0)</f>
        <v>-503.0</v>
      </c>
      <c r="Z7">
        <f>-ROUND(Z5*Assumptions!$B$6,0)</f>
        <v>-522.0</v>
      </c>
    </row>
    <row r="9">
      <c r="A9" t="inlineStr">
        <is>
          <t>Closing customers</t>
        </is>
      </c>
      <c r="C9">
        <f>C5+C6+C7</f>
        <v>11097.0</v>
      </c>
      <c r="D9">
        <f>D5+D6+D7</f>
        <v>11509.0</v>
      </c>
      <c r="E9">
        <f>E5+E6+E7</f>
        <v>11936.0</v>
      </c>
      <c r="F9">
        <f>F5+F6+F7</f>
        <v>12379.0</v>
      </c>
      <c r="G9">
        <f>G5+G6+G7</f>
        <v>12838.0</v>
      </c>
      <c r="H9">
        <f>H5+H6+H7</f>
        <v>13314.0</v>
      </c>
      <c r="I9">
        <f>I5+I6+I7</f>
        <v>13808.0</v>
      </c>
      <c r="J9">
        <f>J5+J6+J7</f>
        <v>14321.0</v>
      </c>
      <c r="K9">
        <f>K5+K6+K7</f>
        <v>14852.0</v>
      </c>
      <c r="L9">
        <f>L5+L6+L7</f>
        <v>15403.0</v>
      </c>
      <c r="M9">
        <f>M5+M6+M7</f>
        <v>15974.0</v>
      </c>
      <c r="N9">
        <f>N5+N6+N7</f>
        <v>16567.0</v>
      </c>
      <c r="O9">
        <f>O5+O6+O7</f>
        <v>17181.0</v>
      </c>
      <c r="P9">
        <f>P5+P6+P7</f>
        <v>17818.0</v>
      </c>
      <c r="Q9">
        <f>Q5+Q6+Q7</f>
        <v>18479.0</v>
      </c>
      <c r="R9">
        <f>R5+R6+R7</f>
        <v>19164.0</v>
      </c>
      <c r="S9">
        <f>S5+S6+S7</f>
        <v>19875.0</v>
      </c>
      <c r="T9">
        <f>T5+T6+T7</f>
        <v>20613.0</v>
      </c>
      <c r="U9">
        <f>U5+U6+U7</f>
        <v>21378.0</v>
      </c>
      <c r="V9">
        <f>V5+V6+V7</f>
        <v>22171.0</v>
      </c>
      <c r="W9">
        <f>W5+W6+W7</f>
        <v>22993.0</v>
      </c>
      <c r="X9">
        <f>X5+X6+X7</f>
        <v>23846.0</v>
      </c>
      <c r="Y9">
        <f>Y5+Y6+Y7</f>
        <v>24731.0</v>
      </c>
      <c r="Z9">
        <f>Z5+Z6+Z7</f>
        <v>25648.0</v>
      </c>
    </row>
    <row r="11">
      <c r="A11" t="inlineStr">
        <is>
          <t>ARPU</t>
        </is>
      </c>
      <c r="C11">
        <f>Assumptions!$B$7</f>
        <v>68.17</v>
      </c>
      <c r="D11">
        <f>ROUND(C11*(1+Assumptions!$B$8),2)</f>
        <v>68.68</v>
      </c>
      <c r="E11">
        <f>ROUND(D11*(1+Assumptions!$B$8),2)</f>
        <v>69.2</v>
      </c>
      <c r="F11">
        <f>ROUND(E11*(1+Assumptions!$B$8),2)</f>
        <v>69.72</v>
      </c>
      <c r="G11">
        <f>ROUND(F11*(1+Assumptions!$B$8),2)</f>
        <v>70.24</v>
      </c>
      <c r="H11">
        <f>ROUND(G11*(1+Assumptions!$B$8),2)</f>
        <v>70.77</v>
      </c>
      <c r="I11">
        <f>ROUND(H11*(1+Assumptions!$B$8),2)</f>
        <v>71.3</v>
      </c>
      <c r="J11">
        <f>ROUND(I11*(1+Assumptions!$B$8),2)</f>
        <v>71.83</v>
      </c>
      <c r="K11">
        <f>ROUND(J11*(1+Assumptions!$B$8),2)</f>
        <v>72.37</v>
      </c>
      <c r="L11">
        <f>ROUND(K11*(1+Assumptions!$B$8),2)</f>
        <v>72.91</v>
      </c>
      <c r="M11">
        <f>ROUND(L11*(1+Assumptions!$B$8),2)</f>
        <v>73.46</v>
      </c>
      <c r="N11">
        <f>ROUND(M11*(1+Assumptions!$B$8),2)</f>
        <v>74.01</v>
      </c>
      <c r="O11">
        <f>ROUND(N11*(1+Assumptions!$B$8),2)</f>
        <v>74.57</v>
      </c>
      <c r="P11">
        <f>ROUND(O11*(1+Assumptions!$B$8),2)</f>
        <v>75.13</v>
      </c>
      <c r="Q11">
        <f>ROUND(P11*(1+Assumptions!$B$8),2)</f>
        <v>75.69</v>
      </c>
      <c r="R11">
        <f>ROUND(Q11*(1+Assumptions!$B$8),2)</f>
        <v>76.26</v>
      </c>
      <c r="S11">
        <f>ROUND(R11*(1+Assumptions!$B$8),2)</f>
        <v>76.83</v>
      </c>
      <c r="T11">
        <f>ROUND(S11*(1+Assumptions!$B$8),2)</f>
        <v>77.41</v>
      </c>
      <c r="U11">
        <f>ROUND(T11*(1+Assumptions!$B$8),2)</f>
        <v>77.99</v>
      </c>
      <c r="V11">
        <f>ROUND(U11*(1+Assumptions!$B$8),2)</f>
        <v>78.57</v>
      </c>
      <c r="W11">
        <f>ROUND(V11*(1+Assumptions!$B$8),2)</f>
        <v>79.16</v>
      </c>
      <c r="X11">
        <f>ROUND(W11*(1+Assumptions!$B$8),2)</f>
        <v>79.75</v>
      </c>
      <c r="Y11">
        <f>ROUND(X11*(1+Assumptions!$B$8),2)</f>
        <v>80.35</v>
      </c>
      <c r="Z11">
        <f>ROUND(Y11*(1+Assumptions!$B$8),2)</f>
        <v>80.95</v>
      </c>
    </row>
    <row r="13">
      <c r="A13" t="inlineStr">
        <is>
          <t>Average customers</t>
        </is>
      </c>
      <c r="C13">
        <f>ROUND((C5+C9)/2,0)</f>
        <v>10899.0</v>
      </c>
      <c r="D13">
        <f>ROUND((D5+D9)/2,0)</f>
        <v>11303.0</v>
      </c>
      <c r="E13">
        <f>ROUND((E5+E9)/2,0)</f>
        <v>11723.0</v>
      </c>
      <c r="F13">
        <f>ROUND((F5+F9)/2,0)</f>
        <v>12158.0</v>
      </c>
      <c r="G13">
        <f>ROUND((G5+G9)/2,0)</f>
        <v>12609.0</v>
      </c>
      <c r="H13">
        <f>ROUND((H5+H9)/2,0)</f>
        <v>13076.0</v>
      </c>
      <c r="I13">
        <f>ROUND((I5+I9)/2,0)</f>
        <v>13561.0</v>
      </c>
      <c r="J13">
        <f>ROUND((J5+J9)/2,0)</f>
        <v>14065.0</v>
      </c>
      <c r="K13">
        <f>ROUND((K5+K9)/2,0)</f>
        <v>14587.0</v>
      </c>
      <c r="L13">
        <f>ROUND((L5+L9)/2,0)</f>
        <v>15128.0</v>
      </c>
      <c r="M13">
        <f>ROUND((M5+M9)/2,0)</f>
        <v>15689.0</v>
      </c>
      <c r="N13">
        <f>ROUND((N5+N9)/2,0)</f>
        <v>16271.0</v>
      </c>
      <c r="O13">
        <f>ROUND((O5+O9)/2,0)</f>
        <v>16874.0</v>
      </c>
      <c r="P13">
        <f>ROUND((P5+P9)/2,0)</f>
        <v>17500.0</v>
      </c>
      <c r="Q13">
        <f>ROUND((Q5+Q9)/2,0)</f>
        <v>18149.0</v>
      </c>
      <c r="R13">
        <f>ROUND((R5+R9)/2,0)</f>
        <v>18822.0</v>
      </c>
      <c r="S13">
        <f>ROUND((S5+S9)/2,0)</f>
        <v>19520.0</v>
      </c>
      <c r="T13">
        <f>ROUND((T5+T9)/2,0)</f>
        <v>20244.0</v>
      </c>
      <c r="U13">
        <f>ROUND((U5+U9)/2,0)</f>
        <v>20996.0</v>
      </c>
      <c r="V13">
        <f>ROUND((V5+V9)/2,0)</f>
        <v>21775.0</v>
      </c>
      <c r="W13">
        <f>ROUND((W5+W9)/2,0)</f>
        <v>22582.0</v>
      </c>
      <c r="X13">
        <f>ROUND((X5+X9)/2,0)</f>
        <v>23420.0</v>
      </c>
      <c r="Y13">
        <f>ROUND((Y5+Y9)/2,0)</f>
        <v>24289.0</v>
      </c>
      <c r="Z13">
        <f>ROUND((Z5+Z9)/2,0)</f>
        <v>25190.0</v>
      </c>
    </row>
    <row r="15">
      <c r="A15" t="inlineStr">
        <is>
          <t>Revenue</t>
        </is>
      </c>
      <c r="C15">
        <f>ROUND(C13*C11,0)</f>
        <v>742985.0</v>
      </c>
      <c r="D15">
        <f>ROUND(D13*D11,0)</f>
        <v>776290.0</v>
      </c>
      <c r="E15">
        <f>ROUND(E13*E11,0)</f>
        <v>811232.0</v>
      </c>
      <c r="F15">
        <f>ROUND(F13*F11,0)</f>
        <v>847656.0</v>
      </c>
      <c r="G15">
        <f>ROUND(G13*G11,0)</f>
        <v>885656.0</v>
      </c>
      <c r="H15">
        <f>ROUND(H13*H11,0)</f>
        <v>925389.0</v>
      </c>
      <c r="I15">
        <f>ROUND(I13*I11,0)</f>
        <v>966899.0</v>
      </c>
      <c r="J15">
        <f>ROUND(J13*J11,0)</f>
        <v>1010289.0</v>
      </c>
      <c r="K15">
        <f>ROUND(K13*K11,0)</f>
        <v>1055661.0</v>
      </c>
      <c r="L15">
        <f>ROUND(L13*L11,0)</f>
        <v>1102982.0</v>
      </c>
      <c r="M15">
        <f>ROUND(M13*M11,0)</f>
        <v>1152514.0</v>
      </c>
      <c r="N15">
        <f>ROUND(N13*N11,0)</f>
        <v>1204217.0</v>
      </c>
      <c r="O15">
        <f>ROUND(O13*O11,0)</f>
        <v>1258294.0</v>
      </c>
      <c r="P15">
        <f>ROUND(P13*P11,0)</f>
        <v>1314775.0</v>
      </c>
      <c r="Q15">
        <f>ROUND(Q13*Q11,0)</f>
        <v>1373698.0</v>
      </c>
      <c r="R15">
        <f>ROUND(R13*R11,0)</f>
        <v>1435366.0</v>
      </c>
      <c r="S15">
        <f>ROUND(S13*S11,0)</f>
        <v>1499722.0</v>
      </c>
      <c r="T15">
        <f>ROUND(T13*T11,0)</f>
        <v>1567088.0</v>
      </c>
      <c r="U15">
        <f>ROUND(U13*U11,0)</f>
        <v>1637478.0</v>
      </c>
      <c r="V15">
        <f>ROUND(V13*V11,0)</f>
        <v>1710862.0</v>
      </c>
      <c r="W15">
        <f>ROUND(W13*W11,0)</f>
        <v>1787591.0</v>
      </c>
      <c r="X15">
        <f>ROUND(X13*X11,0)</f>
        <v>1867745.0</v>
      </c>
      <c r="Y15">
        <f>ROUND(Y13*Y11,0)</f>
        <v>1951621.0</v>
      </c>
      <c r="Z15">
        <f>ROUND(Z13*Z11,0)</f>
        <v>2039131.0</v>
      </c>
    </row>
    <row r="17">
      <c r="A17" t="inlineStr">
        <is>
          <t>Cumulative revenue</t>
        </is>
      </c>
      <c r="C17">
        <f>C15</f>
        <v>742985.0</v>
      </c>
      <c r="D17">
        <f>C17+D15</f>
        <v>1519275.0</v>
      </c>
      <c r="E17">
        <f>D17+E15</f>
        <v>2330507.0</v>
      </c>
      <c r="F17">
        <f>E17+F15</f>
        <v>3178163.0</v>
      </c>
      <c r="G17">
        <f>F17+G15</f>
        <v>4063819.0</v>
      </c>
      <c r="H17">
        <f>G17+H15</f>
        <v>4989208.0</v>
      </c>
      <c r="I17">
        <f>H17+I15</f>
        <v>5956107.0</v>
      </c>
      <c r="J17">
        <f>I17+J15</f>
        <v>6966396.0</v>
      </c>
      <c r="K17">
        <f>J17+K15</f>
        <v>8022057.0</v>
      </c>
      <c r="L17">
        <f>K17+L15</f>
        <v>9125039.0</v>
      </c>
      <c r="M17">
        <f>L17+M15</f>
        <v>10277553.0</v>
      </c>
      <c r="N17">
        <f>M17+N15</f>
        <v>11481770.0</v>
      </c>
      <c r="O17">
        <f>N17+O15</f>
        <v>12740064.0</v>
      </c>
      <c r="P17">
        <f>O17+P15</f>
        <v>14054839.0</v>
      </c>
      <c r="Q17">
        <f>P17+Q15</f>
        <v>15428537.0</v>
      </c>
      <c r="R17">
        <f>Q17+R15</f>
        <v>16863903.0</v>
      </c>
      <c r="S17">
        <f>R17+S15</f>
        <v>18363625.0</v>
      </c>
      <c r="T17">
        <f>S17+T15</f>
        <v>19930713.0</v>
      </c>
      <c r="U17">
        <f>T17+U15</f>
        <v>21568191.0</v>
      </c>
      <c r="V17">
        <f>U17+V15</f>
        <v>23279053.0</v>
      </c>
      <c r="W17">
        <f>V17+W15</f>
        <v>25066644.0</v>
      </c>
      <c r="X17">
        <f>W17+X15</f>
        <v>26934389.0</v>
      </c>
      <c r="Y17">
        <f>X17+Y15</f>
        <v>28886010.0</v>
      </c>
      <c r="Z17">
        <f>Y17+Z15</f>
        <v>30925141.0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 build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</row>
    <row r="5">
      <c r="A5" t="inlineStr">
        <is>
          <t>Headcount</t>
        </is>
      </c>
      <c r="C5">
        <f>Assumptions!$B$12</f>
        <v>18.0</v>
      </c>
      <c r="D5">
        <f>C5+Assumptions!$B$13</f>
        <v>20.0</v>
      </c>
      <c r="E5">
        <f>D5+Assumptions!$B$13</f>
        <v>22.0</v>
      </c>
      <c r="F5">
        <f>E5+Assumptions!$B$13</f>
        <v>24.0</v>
      </c>
      <c r="G5">
        <f>F5+Assumptions!$B$13</f>
        <v>26.0</v>
      </c>
      <c r="H5">
        <f>G5+Assumptions!$B$13</f>
        <v>28.0</v>
      </c>
      <c r="I5">
        <f>H5+Assumptions!$B$13</f>
        <v>30.0</v>
      </c>
      <c r="J5">
        <f>I5+Assumptions!$B$13</f>
        <v>32.0</v>
      </c>
      <c r="K5">
        <f>J5+Assumptions!$B$13</f>
        <v>34.0</v>
      </c>
      <c r="L5">
        <f>K5+Assumptions!$B$13</f>
        <v>36.0</v>
      </c>
      <c r="M5">
        <f>L5+Assumptions!$B$13</f>
        <v>38.0</v>
      </c>
      <c r="N5">
        <f>M5+Assumptions!$B$13</f>
        <v>40.0</v>
      </c>
      <c r="O5">
        <f>N5+Assumptions!$B$13</f>
        <v>42.0</v>
      </c>
      <c r="P5">
        <f>O5+Assumptions!$B$13</f>
        <v>44.0</v>
      </c>
      <c r="Q5">
        <f>P5+Assumptions!$B$13</f>
        <v>46.0</v>
      </c>
      <c r="R5">
        <f>Q5+Assumptions!$B$13</f>
        <v>48.0</v>
      </c>
      <c r="S5">
        <f>R5+Assumptions!$B$13</f>
        <v>50.0</v>
      </c>
      <c r="T5">
        <f>S5+Assumptions!$B$13</f>
        <v>52.0</v>
      </c>
      <c r="U5">
        <f>T5+Assumptions!$B$13</f>
        <v>54.0</v>
      </c>
      <c r="V5">
        <f>U5+Assumptions!$B$13</f>
        <v>56.0</v>
      </c>
      <c r="W5">
        <f>V5+Assumptions!$B$13</f>
        <v>58.0</v>
      </c>
      <c r="X5">
        <f>W5+Assumptions!$B$13</f>
        <v>60.0</v>
      </c>
      <c r="Y5">
        <f>X5+Assumptions!$B$13</f>
        <v>62.0</v>
      </c>
      <c r="Z5">
        <f>Y5+Assumptions!$B$13</f>
        <v>64.0</v>
      </c>
    </row>
    <row r="6">
      <c r="A6" t="inlineStr">
        <is>
          <t>Salary cost</t>
        </is>
      </c>
      <c r="C6">
        <f>ROUND(C5*Assumptions!$B$14/12,0)</f>
        <v>105000.0</v>
      </c>
      <c r="D6">
        <f>ROUND(D5*Assumptions!$B$14/12,0)</f>
        <v>116667.0</v>
      </c>
      <c r="E6">
        <f>ROUND(E5*Assumptions!$B$14/12,0)</f>
        <v>128333.0</v>
      </c>
      <c r="F6">
        <f>ROUND(F5*Assumptions!$B$14/12,0)</f>
        <v>140000.0</v>
      </c>
      <c r="G6">
        <f>ROUND(G5*Assumptions!$B$14/12,0)</f>
        <v>151667.0</v>
      </c>
      <c r="H6">
        <f>ROUND(H5*Assumptions!$B$14/12,0)</f>
        <v>163333.0</v>
      </c>
      <c r="I6">
        <f>ROUND(I5*Assumptions!$B$14/12,0)</f>
        <v>175000.0</v>
      </c>
      <c r="J6">
        <f>ROUND(J5*Assumptions!$B$14/12,0)</f>
        <v>186667.0</v>
      </c>
      <c r="K6">
        <f>ROUND(K5*Assumptions!$B$14/12,0)</f>
        <v>198333.0</v>
      </c>
      <c r="L6">
        <f>ROUND(L5*Assumptions!$B$14/12,0)</f>
        <v>210000.0</v>
      </c>
      <c r="M6">
        <f>ROUND(M5*Assumptions!$B$14/12,0)</f>
        <v>221667.0</v>
      </c>
      <c r="N6">
        <f>ROUND(N5*Assumptions!$B$14/12,0)</f>
        <v>233333.0</v>
      </c>
      <c r="O6">
        <f>ROUND(O5*Assumptions!$B$14/12,0)</f>
        <v>245000.0</v>
      </c>
      <c r="P6">
        <f>ROUND(P5*Assumptions!$B$14/12,0)</f>
        <v>256667.0</v>
      </c>
      <c r="Q6">
        <f>ROUND(Q5*Assumptions!$B$14/12,0)</f>
        <v>268333.0</v>
      </c>
      <c r="R6">
        <f>ROUND(R5*Assumptions!$B$14/12,0)</f>
        <v>280000.0</v>
      </c>
      <c r="S6">
        <f>ROUND(S5*Assumptions!$B$14/12,0)</f>
        <v>291667.0</v>
      </c>
      <c r="T6">
        <f>ROUND(T5*Assumptions!$B$14/12,0)</f>
        <v>303333.0</v>
      </c>
      <c r="U6">
        <f>ROUND(U5*Assumptions!$B$14/12,0)</f>
        <v>315000.0</v>
      </c>
      <c r="V6">
        <f>ROUND(V5*Assumptions!$B$14/12,0)</f>
        <v>326667.0</v>
      </c>
      <c r="W6">
        <f>ROUND(W5*Assumptions!$B$14/12,0)</f>
        <v>338333.0</v>
      </c>
      <c r="X6">
        <f>ROUND(X5*Assumptions!$B$14/12,0)</f>
        <v>350000.0</v>
      </c>
      <c r="Y6">
        <f>ROUND(Y5*Assumptions!$B$14/12,0)</f>
        <v>361667.0</v>
      </c>
      <c r="Z6">
        <f>ROUND(Z5*Assumptions!$B$14/12,0)</f>
        <v>373333.0</v>
      </c>
    </row>
    <row r="7">
      <c r="A7" t="inlineStr">
        <is>
          <t>Payroll tax</t>
        </is>
      </c>
      <c r="C7">
        <f>ROUND(C6*Assumptions!$B$15,0)</f>
        <v>12359.0</v>
      </c>
      <c r="D7">
        <f>ROUND(D6*Assumptions!$B$15,0)</f>
        <v>13732.0</v>
      </c>
      <c r="E7">
        <f>ROUND(E6*Assumptions!$B$15,0)</f>
        <v>15105.0</v>
      </c>
      <c r="F7">
        <f>ROUND(F6*Assumptions!$B$15,0)</f>
        <v>16478.0</v>
      </c>
      <c r="G7">
        <f>ROUND(G6*Assumptions!$B$15,0)</f>
        <v>17851.0</v>
      </c>
      <c r="H7">
        <f>ROUND(H6*Assumptions!$B$15,0)</f>
        <v>19224.0</v>
      </c>
      <c r="I7">
        <f>ROUND(I6*Assumptions!$B$15,0)</f>
        <v>20598.0</v>
      </c>
      <c r="J7">
        <f>ROUND(J6*Assumptions!$B$15,0)</f>
        <v>21971.0</v>
      </c>
      <c r="K7">
        <f>ROUND(K6*Assumptions!$B$15,0)</f>
        <v>23344.0</v>
      </c>
      <c r="L7">
        <f>ROUND(L6*Assumptions!$B$15,0)</f>
        <v>24717.0</v>
      </c>
      <c r="M7">
        <f>ROUND(M6*Assumptions!$B$15,0)</f>
        <v>26090.0</v>
      </c>
      <c r="N7">
        <f>ROUND(N6*Assumptions!$B$15,0)</f>
        <v>27463.0</v>
      </c>
      <c r="O7">
        <f>ROUND(O6*Assumptions!$B$15,0)</f>
        <v>28837.0</v>
      </c>
      <c r="P7">
        <f>ROUND(P6*Assumptions!$B$15,0)</f>
        <v>30210.0</v>
      </c>
      <c r="Q7">
        <f>ROUND(Q6*Assumptions!$B$15,0)</f>
        <v>31583.0</v>
      </c>
      <c r="R7">
        <f>ROUND(R6*Assumptions!$B$15,0)</f>
        <v>32956.0</v>
      </c>
      <c r="S7">
        <f>ROUND(S6*Assumptions!$B$15,0)</f>
        <v>34329.0</v>
      </c>
      <c r="T7">
        <f>ROUND(T6*Assumptions!$B$15,0)</f>
        <v>35702.0</v>
      </c>
      <c r="U7">
        <f>ROUND(U6*Assumptions!$B$15,0)</f>
        <v>37076.0</v>
      </c>
      <c r="V7">
        <f>ROUND(V6*Assumptions!$B$15,0)</f>
        <v>38449.0</v>
      </c>
      <c r="W7">
        <f>ROUND(W6*Assumptions!$B$15,0)</f>
        <v>39822.0</v>
      </c>
      <c r="X7">
        <f>ROUND(X6*Assumptions!$B$15,0)</f>
        <v>41195.0</v>
      </c>
      <c r="Y7">
        <f>ROUND(Y6*Assumptions!$B$15,0)</f>
        <v>42568.0</v>
      </c>
      <c r="Z7">
        <f>ROUND(Z6*Assumptions!$B$15,0)</f>
        <v>43941.0</v>
      </c>
    </row>
    <row r="8">
      <c r="A8" t="inlineStr">
        <is>
          <t>Total staff cost</t>
        </is>
      </c>
      <c r="C8">
        <f>C6+C7</f>
        <v>117359.0</v>
      </c>
      <c r="D8">
        <f>D6+D7</f>
        <v>130399.0</v>
      </c>
      <c r="E8">
        <f>E6+E7</f>
        <v>143438.0</v>
      </c>
      <c r="F8">
        <f>F6+F7</f>
        <v>156478.0</v>
      </c>
      <c r="G8">
        <f>G6+G7</f>
        <v>169518.0</v>
      </c>
      <c r="H8">
        <f>H6+H7</f>
        <v>182557.0</v>
      </c>
      <c r="I8">
        <f>I6+I7</f>
        <v>195598.0</v>
      </c>
      <c r="J8">
        <f>J6+J7</f>
        <v>208638.0</v>
      </c>
      <c r="K8">
        <f>K6+K7</f>
        <v>221677.0</v>
      </c>
      <c r="L8">
        <f>L6+L7</f>
        <v>234717.0</v>
      </c>
      <c r="M8">
        <f>M6+M7</f>
        <v>247757.0</v>
      </c>
      <c r="N8">
        <f>N6+N7</f>
        <v>260796.0</v>
      </c>
      <c r="O8">
        <f>O6+O7</f>
        <v>273837.0</v>
      </c>
      <c r="P8">
        <f>P6+P7</f>
        <v>286877.0</v>
      </c>
      <c r="Q8">
        <f>Q6+Q7</f>
        <v>299916.0</v>
      </c>
      <c r="R8">
        <f>R6+R7</f>
        <v>312956.0</v>
      </c>
      <c r="S8">
        <f>S6+S7</f>
        <v>325996.0</v>
      </c>
      <c r="T8">
        <f>T6+T7</f>
        <v>339035.0</v>
      </c>
      <c r="U8">
        <f>U6+U7</f>
        <v>352076.0</v>
      </c>
      <c r="V8">
        <f>V6+V7</f>
        <v>365116.0</v>
      </c>
      <c r="W8">
        <f>W6+W7</f>
        <v>378155.0</v>
      </c>
      <c r="X8">
        <f>X6+X7</f>
        <v>391195.0</v>
      </c>
      <c r="Y8">
        <f>Y6+Y7</f>
        <v>404235.0</v>
      </c>
      <c r="Z8">
        <f>Z6+Z7</f>
        <v>417274.0</v>
      </c>
    </row>
    <row r="10">
      <c r="A10" t="inlineStr">
        <is>
          <t>Cost of sales</t>
        </is>
      </c>
      <c r="C10">
        <f>ROUND(Revenue!C15*Assumptions!$B$11,0)</f>
        <v>141984.0</v>
      </c>
      <c r="D10">
        <f>ROUND(Revenue!D15*Assumptions!$B$11,0)</f>
        <v>148349.0</v>
      </c>
      <c r="E10">
        <f>ROUND(Revenue!E15*Assumptions!$B$11,0)</f>
        <v>155026.0</v>
      </c>
      <c r="F10">
        <f>ROUND(Revenue!F15*Assumptions!$B$11,0)</f>
        <v>161987.0</v>
      </c>
      <c r="G10">
        <f>ROUND(Revenue!G15*Assumptions!$B$11,0)</f>
        <v>169249.0</v>
      </c>
      <c r="H10">
        <f>ROUND(Revenue!H15*Assumptions!$B$11,0)</f>
        <v>176842.0</v>
      </c>
      <c r="I10">
        <f>ROUND(Revenue!I15*Assumptions!$B$11,0)</f>
        <v>184774.0</v>
      </c>
      <c r="J10">
        <f>ROUND(Revenue!J15*Assumptions!$B$11,0)</f>
        <v>193066.0</v>
      </c>
      <c r="K10">
        <f>ROUND(Revenue!K15*Assumptions!$B$11,0)</f>
        <v>201737.0</v>
      </c>
      <c r="L10">
        <f>ROUND(Revenue!L15*Assumptions!$B$11,0)</f>
        <v>210780.0</v>
      </c>
      <c r="M10">
        <f>ROUND(Revenue!M15*Assumptions!$B$11,0)</f>
        <v>220245.0</v>
      </c>
      <c r="N10">
        <f>ROUND(Revenue!N15*Assumptions!$B$11,0)</f>
        <v>230126.0</v>
      </c>
      <c r="O10">
        <f>ROUND(Revenue!O15*Assumptions!$B$11,0)</f>
        <v>240460.0</v>
      </c>
      <c r="P10">
        <f>ROUND(Revenue!P15*Assumptions!$B$11,0)</f>
        <v>251254.0</v>
      </c>
      <c r="Q10">
        <f>ROUND(Revenue!Q15*Assumptions!$B$11,0)</f>
        <v>262514.0</v>
      </c>
      <c r="R10">
        <f>ROUND(Revenue!R15*Assumptions!$B$11,0)</f>
        <v>274298.0</v>
      </c>
      <c r="S10">
        <f>ROUND(Revenue!S15*Assumptions!$B$11,0)</f>
        <v>286597.0</v>
      </c>
      <c r="T10">
        <f>ROUND(Revenue!T15*Assumptions!$B$11,0)</f>
        <v>299471.0</v>
      </c>
      <c r="U10">
        <f>ROUND(Revenue!U15*Assumptions!$B$11,0)</f>
        <v>312922.0</v>
      </c>
      <c r="V10">
        <f>ROUND(Revenue!V15*Assumptions!$B$11,0)</f>
        <v>326946.0</v>
      </c>
      <c r="W10">
        <f>ROUND(Revenue!W15*Assumptions!$B$11,0)</f>
        <v>341609.0</v>
      </c>
      <c r="X10">
        <f>ROUND(Revenue!X15*Assumptions!$B$11,0)</f>
        <v>356926.0</v>
      </c>
      <c r="Y10">
        <f>ROUND(Revenue!Y15*Assumptions!$B$11,0)</f>
        <v>372955.0</v>
      </c>
      <c r="Z10">
        <f>ROUND(Revenue!Z15*Assumptions!$B$11,0)</f>
        <v>389678.0</v>
      </c>
    </row>
    <row r="11">
      <c r="A11" t="inlineStr">
        <is>
          <t>Marketing</t>
        </is>
      </c>
      <c r="C11">
        <f>ROUND(Revenue!C15*Assumptions!$B$16,0)</f>
        <v>83957.0</v>
      </c>
      <c r="D11">
        <f>ROUND(Revenue!D15*Assumptions!$B$16,0)</f>
        <v>87721.0</v>
      </c>
      <c r="E11">
        <f>ROUND(Revenue!E15*Assumptions!$B$16,0)</f>
        <v>91669.0</v>
      </c>
      <c r="F11">
        <f>ROUND(Revenue!F15*Assumptions!$B$16,0)</f>
        <v>95785.0</v>
      </c>
      <c r="G11">
        <f>ROUND(Revenue!G15*Assumptions!$B$16,0)</f>
        <v>100079.0</v>
      </c>
      <c r="H11">
        <f>ROUND(Revenue!H15*Assumptions!$B$16,0)</f>
        <v>104569.0</v>
      </c>
      <c r="I11">
        <f>ROUND(Revenue!I15*Assumptions!$B$16,0)</f>
        <v>109260.0</v>
      </c>
      <c r="J11">
        <f>ROUND(Revenue!J15*Assumptions!$B$16,0)</f>
        <v>114163.0</v>
      </c>
      <c r="K11">
        <f>ROUND(Revenue!K15*Assumptions!$B$16,0)</f>
        <v>119290.0</v>
      </c>
      <c r="L11">
        <f>ROUND(Revenue!L15*Assumptions!$B$16,0)</f>
        <v>124637.0</v>
      </c>
      <c r="M11">
        <f>ROUND(Revenue!M15*Assumptions!$B$16,0)</f>
        <v>130234.0</v>
      </c>
      <c r="N11">
        <f>ROUND(Revenue!N15*Assumptions!$B$16,0)</f>
        <v>136077.0</v>
      </c>
      <c r="O11">
        <f>ROUND(Revenue!O15*Assumptions!$B$16,0)</f>
        <v>142187.0</v>
      </c>
      <c r="P11">
        <f>ROUND(Revenue!P15*Assumptions!$B$16,0)</f>
        <v>148570.0</v>
      </c>
      <c r="Q11">
        <f>ROUND(Revenue!Q15*Assumptions!$B$16,0)</f>
        <v>155228.0</v>
      </c>
      <c r="R11">
        <f>ROUND(Revenue!R15*Assumptions!$B$16,0)</f>
        <v>162196.0</v>
      </c>
      <c r="S11">
        <f>ROUND(Revenue!S15*Assumptions!$B$16,0)</f>
        <v>169469.0</v>
      </c>
      <c r="T11">
        <f>ROUND(Revenue!T15*Assumptions!$B$16,0)</f>
        <v>177081.0</v>
      </c>
      <c r="U11">
        <f>ROUND(Revenue!U15*Assumptions!$B$16,0)</f>
        <v>185035.0</v>
      </c>
      <c r="V11">
        <f>ROUND(Revenue!V15*Assumptions!$B$16,0)</f>
        <v>193327.0</v>
      </c>
      <c r="W11">
        <f>ROUND(Revenue!W15*Assumptions!$B$16,0)</f>
        <v>201998.0</v>
      </c>
      <c r="X11">
        <f>ROUND(Revenue!X15*Assumptions!$B$16,0)</f>
        <v>211055.0</v>
      </c>
      <c r="Y11">
        <f>ROUND(Revenue!Y15*Assumptions!$B$16,0)</f>
        <v>220533.0</v>
      </c>
      <c r="Z11">
        <f>ROUND(Revenue!Z15*Assumptions!$B$16,0)</f>
        <v>230422.0</v>
      </c>
    </row>
    <row r="12">
      <c r="A12" t="inlineStr">
        <is>
          <t>Overhead</t>
        </is>
      </c>
      <c r="C12">
        <f>ROUND(Assumptions!$B$17,0)</f>
        <v>35000.0</v>
      </c>
      <c r="D12">
        <f>ROUND(C12*(1+Assumptions!$B$18),0)</f>
        <v>35280.0</v>
      </c>
      <c r="E12">
        <f>ROUND(D12*(1+Assumptions!$B$18),0)</f>
        <v>35562.0</v>
      </c>
      <c r="F12">
        <f>ROUND(E12*(1+Assumptions!$B$18),0)</f>
        <v>35846.0</v>
      </c>
      <c r="G12">
        <f>ROUND(F12*(1+Assumptions!$B$18),0)</f>
        <v>36133.0</v>
      </c>
      <c r="H12">
        <f>ROUND(G12*(1+Assumptions!$B$18),0)</f>
        <v>36422.0</v>
      </c>
      <c r="I12">
        <f>ROUND(H12*(1+Assumptions!$B$18),0)</f>
        <v>36713.0</v>
      </c>
      <c r="J12">
        <f>ROUND(I12*(1+Assumptions!$B$18),0)</f>
        <v>37007.0</v>
      </c>
      <c r="K12">
        <f>ROUND(J12*(1+Assumptions!$B$18),0)</f>
        <v>37303.0</v>
      </c>
      <c r="L12">
        <f>ROUND(K12*(1+Assumptions!$B$18),0)</f>
        <v>37601.0</v>
      </c>
      <c r="M12">
        <f>ROUND(L12*(1+Assumptions!$B$18),0)</f>
        <v>37902.0</v>
      </c>
      <c r="N12">
        <f>ROUND(M12*(1+Assumptions!$B$18),0)</f>
        <v>38205.0</v>
      </c>
      <c r="O12">
        <f>ROUND(N12*(1+Assumptions!$B$18),0)</f>
        <v>38511.0</v>
      </c>
      <c r="P12">
        <f>ROUND(O12*(1+Assumptions!$B$18),0)</f>
        <v>38819.0</v>
      </c>
      <c r="Q12">
        <f>ROUND(P12*(1+Assumptions!$B$18),0)</f>
        <v>39130.0</v>
      </c>
      <c r="R12">
        <f>ROUND(Q12*(1+Assumptions!$B$18),0)</f>
        <v>39443.0</v>
      </c>
      <c r="S12">
        <f>ROUND(R12*(1+Assumptions!$B$18),0)</f>
        <v>39759.0</v>
      </c>
      <c r="T12">
        <f>ROUND(S12*(1+Assumptions!$B$18),0)</f>
        <v>40077.0</v>
      </c>
      <c r="U12">
        <f>ROUND(T12*(1+Assumptions!$B$18),0)</f>
        <v>40398.0</v>
      </c>
      <c r="V12">
        <f>ROUND(U12*(1+Assumptions!$B$18),0)</f>
        <v>40721.0</v>
      </c>
      <c r="W12">
        <f>ROUND(V12*(1+Assumptions!$B$18),0)</f>
        <v>41047.0</v>
      </c>
      <c r="X12">
        <f>ROUND(W12*(1+Assumptions!$B$18),0)</f>
        <v>41375.0</v>
      </c>
      <c r="Y12">
        <f>ROUND(X12*(1+Assumptions!$B$18),0)</f>
        <v>41706.0</v>
      </c>
      <c r="Z12">
        <f>ROUND(Y12*(1+Assumptions!$B$18),0)</f>
        <v>42040.0</v>
      </c>
    </row>
    <row r="14">
      <c r="A14" t="inlineStr">
        <is>
          <t>Total costs</t>
        </is>
      </c>
      <c r="C14">
        <f>C8+C10+C11+C12</f>
        <v>378300.0</v>
      </c>
      <c r="D14">
        <f>D8+D10+D11+D12</f>
        <v>401749.0</v>
      </c>
      <c r="E14">
        <f>E8+E10+E11+E12</f>
        <v>425695.0</v>
      </c>
      <c r="F14">
        <f>F8+F10+F11+F12</f>
        <v>450096.0</v>
      </c>
      <c r="G14">
        <f>G8+G10+G11+G12</f>
        <v>474979.0</v>
      </c>
      <c r="H14">
        <f>H8+H10+H11+H12</f>
        <v>500390.0</v>
      </c>
      <c r="I14">
        <f>I8+I10+I11+I12</f>
        <v>526345.0</v>
      </c>
      <c r="J14">
        <f>J8+J10+J11+J12</f>
        <v>552874.0</v>
      </c>
      <c r="K14">
        <f>K8+K10+K11+K12</f>
        <v>580007.0</v>
      </c>
      <c r="L14">
        <f>L8+L10+L11+L12</f>
        <v>607735.0</v>
      </c>
      <c r="M14">
        <f>M8+M10+M11+M12</f>
        <v>636138.0</v>
      </c>
      <c r="N14">
        <f>N8+N10+N11+N12</f>
        <v>665204.0</v>
      </c>
      <c r="O14">
        <f>O8+O10+O11+O12</f>
        <v>694995.0</v>
      </c>
      <c r="P14">
        <f>P8+P10+P11+P12</f>
        <v>725520.0</v>
      </c>
      <c r="Q14">
        <f>Q8+Q10+Q11+Q12</f>
        <v>756788.0</v>
      </c>
      <c r="R14">
        <f>R8+R10+R11+R12</f>
        <v>788893.0</v>
      </c>
      <c r="S14">
        <f>S8+S10+S11+S12</f>
        <v>821821.0</v>
      </c>
      <c r="T14">
        <f>T8+T10+T11+T12</f>
        <v>855664.0</v>
      </c>
      <c r="U14">
        <f>U8+U10+U11+U12</f>
        <v>890431.0</v>
      </c>
      <c r="V14">
        <f>V8+V10+V11+V12</f>
        <v>926110.0</v>
      </c>
      <c r="W14">
        <f>W8+W10+W11+W12</f>
        <v>962809.0</v>
      </c>
      <c r="X14">
        <f>X8+X10+X11+X12</f>
        <v>1000551.0</v>
      </c>
      <c r="Y14">
        <f>Y8+Y10+Y11+Y12</f>
        <v>1039429.0</v>
      </c>
      <c r="Z14">
        <f>Z8+Z10+Z11+Z12</f>
        <v>1079414.0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Profit and loss</t>
        </is>
      </c>
    </row>
    <row r="3">
      <c r="A3" t="inlineStr">
        <is>
          <t>Month</t>
        </is>
      </c>
      <c r="C3">
        <f>Revenue!C3</f>
        <v>1.0</v>
      </c>
      <c r="D3">
        <f>Revenue!D3</f>
        <v>2.0</v>
      </c>
      <c r="E3">
        <f>Revenue!E3</f>
        <v>3.0</v>
      </c>
      <c r="F3">
        <f>Revenue!F3</f>
        <v>4.0</v>
      </c>
      <c r="G3">
        <f>Revenue!G3</f>
        <v>5.0</v>
      </c>
      <c r="H3">
        <f>Revenue!H3</f>
        <v>6.0</v>
      </c>
      <c r="I3">
        <f>Revenue!I3</f>
        <v>7.0</v>
      </c>
      <c r="J3">
        <f>Revenue!J3</f>
        <v>8.0</v>
      </c>
      <c r="K3">
        <f>Revenue!K3</f>
        <v>9.0</v>
      </c>
      <c r="L3">
        <f>Revenue!L3</f>
        <v>10.0</v>
      </c>
      <c r="M3">
        <f>Revenue!M3</f>
        <v>11.0</v>
      </c>
      <c r="N3">
        <f>Revenue!N3</f>
        <v>12.0</v>
      </c>
      <c r="O3">
        <f>Revenue!O3</f>
        <v>13.0</v>
      </c>
      <c r="P3">
        <f>Revenue!P3</f>
        <v>14.0</v>
      </c>
      <c r="Q3">
        <f>Revenue!Q3</f>
        <v>15.0</v>
      </c>
      <c r="R3">
        <f>Revenue!R3</f>
        <v>16.0</v>
      </c>
      <c r="S3">
        <f>Revenue!S3</f>
        <v>17.0</v>
      </c>
      <c r="T3">
        <f>Revenue!T3</f>
        <v>18.0</v>
      </c>
      <c r="U3">
        <f>Revenue!U3</f>
        <v>19.0</v>
      </c>
      <c r="V3">
        <f>Revenue!V3</f>
        <v>20.0</v>
      </c>
      <c r="W3">
        <f>Revenue!W3</f>
        <v>21.0</v>
      </c>
      <c r="X3">
        <f>Revenue!X3</f>
        <v>22.0</v>
      </c>
      <c r="Y3">
        <f>Revenue!Y3</f>
        <v>23.0</v>
      </c>
      <c r="Z3">
        <f>Revenue!Z3</f>
        <v>24.0</v>
      </c>
      <c r="AA3" t="inlineStr">
        <is>
          <t>Total</t>
        </is>
      </c>
    </row>
    <row r="5">
      <c r="A5" t="inlineStr">
        <is>
          <t>Revenue</t>
        </is>
      </c>
      <c r="C5">
        <f>Revenue!C15</f>
        <v>742985.0</v>
      </c>
      <c r="D5">
        <f>Revenue!D15</f>
        <v>776290.0</v>
      </c>
      <c r="E5">
        <f>Revenue!E15</f>
        <v>811232.0</v>
      </c>
      <c r="F5">
        <f>Revenue!F15</f>
        <v>847656.0</v>
      </c>
      <c r="G5">
        <f>Revenue!G15</f>
        <v>885656.0</v>
      </c>
      <c r="H5">
        <f>Revenue!H15</f>
        <v>925389.0</v>
      </c>
      <c r="I5">
        <f>Revenue!I15</f>
        <v>966899.0</v>
      </c>
      <c r="J5">
        <f>Revenue!J15</f>
        <v>1010289.0</v>
      </c>
      <c r="K5">
        <f>Revenue!K15</f>
        <v>1055661.0</v>
      </c>
      <c r="L5">
        <f>Revenue!L15</f>
        <v>1102982.0</v>
      </c>
      <c r="M5">
        <f>Revenue!M15</f>
        <v>1152514.0</v>
      </c>
      <c r="N5">
        <f>Revenue!N15</f>
        <v>1204217.0</v>
      </c>
      <c r="O5">
        <f>Revenue!O15</f>
        <v>1258294.0</v>
      </c>
      <c r="P5">
        <f>Revenue!P15</f>
        <v>1314775.0</v>
      </c>
      <c r="Q5">
        <f>Revenue!Q15</f>
        <v>1373698.0</v>
      </c>
      <c r="R5">
        <f>Revenue!R15</f>
        <v>1435366.0</v>
      </c>
      <c r="S5">
        <f>Revenue!S15</f>
        <v>1499722.0</v>
      </c>
      <c r="T5">
        <f>Revenue!T15</f>
        <v>1567088.0</v>
      </c>
      <c r="U5">
        <f>Revenue!U15</f>
        <v>1637478.0</v>
      </c>
      <c r="V5">
        <f>Revenue!V15</f>
        <v>1710862.0</v>
      </c>
      <c r="W5">
        <f>Revenue!W15</f>
        <v>1787591.0</v>
      </c>
      <c r="X5">
        <f>Revenue!X15</f>
        <v>1867745.0</v>
      </c>
      <c r="Y5">
        <f>Revenue!Y15</f>
        <v>1951621.0</v>
      </c>
      <c r="Z5">
        <f>Revenue!Z15</f>
        <v>2039131.0</v>
      </c>
      <c r="AA5">
        <f>SUM(C5:Z5)</f>
        <v>30925141.0</v>
      </c>
    </row>
    <row r="6">
      <c r="A6" t="inlineStr">
        <is>
          <t>Cost of sales</t>
        </is>
      </c>
      <c r="C6">
        <f>-Costs!C10</f>
        <v>-141984.0</v>
      </c>
      <c r="D6">
        <f>-Costs!D10</f>
        <v>-148349.0</v>
      </c>
      <c r="E6">
        <f>-Costs!E10</f>
        <v>-155026.0</v>
      </c>
      <c r="F6">
        <f>-Costs!F10</f>
        <v>-161987.0</v>
      </c>
      <c r="G6">
        <f>-Costs!G10</f>
        <v>-169249.0</v>
      </c>
      <c r="H6">
        <f>-Costs!H10</f>
        <v>-176842.0</v>
      </c>
      <c r="I6">
        <f>-Costs!I10</f>
        <v>-184774.0</v>
      </c>
      <c r="J6">
        <f>-Costs!J10</f>
        <v>-193066.0</v>
      </c>
      <c r="K6">
        <f>-Costs!K10</f>
        <v>-201737.0</v>
      </c>
      <c r="L6">
        <f>-Costs!L10</f>
        <v>-210780.0</v>
      </c>
      <c r="M6">
        <f>-Costs!M10</f>
        <v>-220245.0</v>
      </c>
      <c r="N6">
        <f>-Costs!N10</f>
        <v>-230126.0</v>
      </c>
      <c r="O6">
        <f>-Costs!O10</f>
        <v>-240460.0</v>
      </c>
      <c r="P6">
        <f>-Costs!P10</f>
        <v>-251254.0</v>
      </c>
      <c r="Q6">
        <f>-Costs!Q10</f>
        <v>-262514.0</v>
      </c>
      <c r="R6">
        <f>-Costs!R10</f>
        <v>-274298.0</v>
      </c>
      <c r="S6">
        <f>-Costs!S10</f>
        <v>-286597.0</v>
      </c>
      <c r="T6">
        <f>-Costs!T10</f>
        <v>-299471.0</v>
      </c>
      <c r="U6">
        <f>-Costs!U10</f>
        <v>-312922.0</v>
      </c>
      <c r="V6">
        <f>-Costs!V10</f>
        <v>-326946.0</v>
      </c>
      <c r="W6">
        <f>-Costs!W10</f>
        <v>-341609.0</v>
      </c>
      <c r="X6">
        <f>-Costs!X10</f>
        <v>-356926.0</v>
      </c>
      <c r="Y6">
        <f>-Costs!Y10</f>
        <v>-372955.0</v>
      </c>
      <c r="Z6">
        <f>-Costs!Z10</f>
        <v>-389678.0</v>
      </c>
      <c r="AA6">
        <f>SUM(C6:Z6)</f>
        <v>-5909795.0</v>
      </c>
    </row>
    <row r="7">
      <c r="A7" t="inlineStr">
        <is>
          <t>Gross profit</t>
        </is>
      </c>
      <c r="C7">
        <f>C5+C6</f>
        <v>601001.0</v>
      </c>
      <c r="D7">
        <f>D5+D6</f>
        <v>627941.0</v>
      </c>
      <c r="E7">
        <f>E5+E6</f>
        <v>656206.0</v>
      </c>
      <c r="F7">
        <f>F5+F6</f>
        <v>685669.0</v>
      </c>
      <c r="G7">
        <f>G5+G6</f>
        <v>716407.0</v>
      </c>
      <c r="H7">
        <f>H5+H6</f>
        <v>748547.0</v>
      </c>
      <c r="I7">
        <f>I5+I6</f>
        <v>782125.0</v>
      </c>
      <c r="J7">
        <f>J5+J6</f>
        <v>817223.0</v>
      </c>
      <c r="K7">
        <f>K5+K6</f>
        <v>853924.0</v>
      </c>
      <c r="L7">
        <f>L5+L6</f>
        <v>892202.0</v>
      </c>
      <c r="M7">
        <f>M5+M6</f>
        <v>932269.0</v>
      </c>
      <c r="N7">
        <f>N5+N6</f>
        <v>974091.0</v>
      </c>
      <c r="O7">
        <f>O5+O6</f>
        <v>1017834.0</v>
      </c>
      <c r="P7">
        <f>P5+P6</f>
        <v>1063521.0</v>
      </c>
      <c r="Q7">
        <f>Q5+Q6</f>
        <v>1111184.0</v>
      </c>
      <c r="R7">
        <f>R5+R6</f>
        <v>1161068.0</v>
      </c>
      <c r="S7">
        <f>S5+S6</f>
        <v>1213125.0</v>
      </c>
      <c r="T7">
        <f>T5+T6</f>
        <v>1267617.0</v>
      </c>
      <c r="U7">
        <f>U5+U6</f>
        <v>1324556.0</v>
      </c>
      <c r="V7">
        <f>V5+V6</f>
        <v>1383916.0</v>
      </c>
      <c r="W7">
        <f>W5+W6</f>
        <v>1445982.0</v>
      </c>
      <c r="X7">
        <f>X5+X6</f>
        <v>1510819.0</v>
      </c>
      <c r="Y7">
        <f>Y5+Y6</f>
        <v>1578666.0</v>
      </c>
      <c r="Z7">
        <f>Z5+Z6</f>
        <v>1649453.0</v>
      </c>
      <c r="AA7">
        <f>SUM(C7:Z7)</f>
        <v>25015346.0</v>
      </c>
    </row>
    <row r="8">
      <c r="A8" t="inlineStr">
        <is>
          <t>Gross margin</t>
        </is>
      </c>
      <c r="C8">
        <f>IF(C5=0,0,ROUND(C7/C5,4))</f>
        <v>0.8089</v>
      </c>
      <c r="D8">
        <f>IF(D5=0,0,ROUND(D7/D5,4))</f>
        <v>0.8089</v>
      </c>
      <c r="E8">
        <f>IF(E5=0,0,ROUND(E7/E5,4))</f>
        <v>0.8089</v>
      </c>
      <c r="F8">
        <f>IF(F5=0,0,ROUND(F7/F5,4))</f>
        <v>0.8089</v>
      </c>
      <c r="G8">
        <f>IF(G5=0,0,ROUND(G7/G5,4))</f>
        <v>0.8089</v>
      </c>
      <c r="H8">
        <f>IF(H5=0,0,ROUND(H7/H5,4))</f>
        <v>0.8089</v>
      </c>
      <c r="I8">
        <f>IF(I5=0,0,ROUND(I7/I5,4))</f>
        <v>0.8089</v>
      </c>
      <c r="J8">
        <f>IF(J5=0,0,ROUND(J7/J5,4))</f>
        <v>0.8089</v>
      </c>
      <c r="K8">
        <f>IF(K5=0,0,ROUND(K7/K5,4))</f>
        <v>0.8089</v>
      </c>
      <c r="L8">
        <f>IF(L5=0,0,ROUND(L7/L5,4))</f>
        <v>0.8089</v>
      </c>
      <c r="M8">
        <f>IF(M5=0,0,ROUND(M7/M5,4))</f>
        <v>0.8089</v>
      </c>
      <c r="N8">
        <f>IF(N5=0,0,ROUND(N7/N5,4))</f>
        <v>0.8089</v>
      </c>
      <c r="O8">
        <f>IF(O5=0,0,ROUND(O7/O5,4))</f>
        <v>0.8089</v>
      </c>
      <c r="P8">
        <f>IF(P5=0,0,ROUND(P7/P5,4))</f>
        <v>0.8089</v>
      </c>
      <c r="Q8">
        <f>IF(Q5=0,0,ROUND(Q7/Q5,4))</f>
        <v>0.8089</v>
      </c>
      <c r="R8">
        <f>IF(R5=0,0,ROUND(R7/R5,4))</f>
        <v>0.8089</v>
      </c>
      <c r="S8">
        <f>IF(S5=0,0,ROUND(S7/S5,4))</f>
        <v>0.8089</v>
      </c>
      <c r="T8">
        <f>IF(T5=0,0,ROUND(T7/T5,4))</f>
        <v>0.8089</v>
      </c>
      <c r="U8">
        <f>IF(U5=0,0,ROUND(U7/U5,4))</f>
        <v>0.8089</v>
      </c>
      <c r="V8">
        <f>IF(V5=0,0,ROUND(V7/V5,4))</f>
        <v>0.8089</v>
      </c>
      <c r="W8">
        <f>IF(W5=0,0,ROUND(W7/W5,4))</f>
        <v>0.8089</v>
      </c>
      <c r="X8">
        <f>IF(X5=0,0,ROUND(X7/X5,4))</f>
        <v>0.8089</v>
      </c>
      <c r="Y8">
        <f>IF(Y5=0,0,ROUND(Y7/Y5,4))</f>
        <v>0.8089</v>
      </c>
      <c r="Z8">
        <f>IF(Z5=0,0,ROUND(Z7/Z5,4))</f>
        <v>0.8089</v>
      </c>
    </row>
    <row r="10">
      <c r="A10" t="inlineStr">
        <is>
          <t>Staff costs</t>
        </is>
      </c>
      <c r="C10">
        <f>-Costs!C8</f>
        <v>-117359.0</v>
      </c>
      <c r="D10">
        <f>-Costs!D8</f>
        <v>-130399.0</v>
      </c>
      <c r="E10">
        <f>-Costs!E8</f>
        <v>-143438.0</v>
      </c>
      <c r="F10">
        <f>-Costs!F8</f>
        <v>-156478.0</v>
      </c>
      <c r="G10">
        <f>-Costs!G8</f>
        <v>-169518.0</v>
      </c>
      <c r="H10">
        <f>-Costs!H8</f>
        <v>-182557.0</v>
      </c>
      <c r="I10">
        <f>-Costs!I8</f>
        <v>-195598.0</v>
      </c>
      <c r="J10">
        <f>-Costs!J8</f>
        <v>-208638.0</v>
      </c>
      <c r="K10">
        <f>-Costs!K8</f>
        <v>-221677.0</v>
      </c>
      <c r="L10">
        <f>-Costs!L8</f>
        <v>-234717.0</v>
      </c>
      <c r="M10">
        <f>-Costs!M8</f>
        <v>-247757.0</v>
      </c>
      <c r="N10">
        <f>-Costs!N8</f>
        <v>-260796.0</v>
      </c>
      <c r="O10">
        <f>-Costs!O8</f>
        <v>-273837.0</v>
      </c>
      <c r="P10">
        <f>-Costs!P8</f>
        <v>-286877.0</v>
      </c>
      <c r="Q10">
        <f>-Costs!Q8</f>
        <v>-299916.0</v>
      </c>
      <c r="R10">
        <f>-Costs!R8</f>
        <v>-312956.0</v>
      </c>
      <c r="S10">
        <f>-Costs!S8</f>
        <v>-325996.0</v>
      </c>
      <c r="T10">
        <f>-Costs!T8</f>
        <v>-339035.0</v>
      </c>
      <c r="U10">
        <f>-Costs!U8</f>
        <v>-352076.0</v>
      </c>
      <c r="V10">
        <f>-Costs!V8</f>
        <v>-365116.0</v>
      </c>
      <c r="W10">
        <f>-Costs!W8</f>
        <v>-378155.0</v>
      </c>
      <c r="X10">
        <f>-Costs!X8</f>
        <v>-391195.0</v>
      </c>
      <c r="Y10">
        <f>-Costs!Y8</f>
        <v>-404235.0</v>
      </c>
      <c r="Z10">
        <f>-Costs!Z8</f>
        <v>-417274.0</v>
      </c>
      <c r="AA10">
        <f>SUM(C10:Z10)</f>
        <v>-6415600.0</v>
      </c>
    </row>
    <row r="11">
      <c r="A11" t="inlineStr">
        <is>
          <t>Marketing</t>
        </is>
      </c>
      <c r="C11">
        <f>-Costs!C11</f>
        <v>-83957.0</v>
      </c>
      <c r="D11">
        <f>-Costs!D11</f>
        <v>-87721.0</v>
      </c>
      <c r="E11">
        <f>-Costs!E11</f>
        <v>-91669.0</v>
      </c>
      <c r="F11">
        <f>-Costs!F11</f>
        <v>-95785.0</v>
      </c>
      <c r="G11">
        <f>-Costs!G11</f>
        <v>-100079.0</v>
      </c>
      <c r="H11">
        <f>-Costs!H11</f>
        <v>-104569.0</v>
      </c>
      <c r="I11">
        <f>-Costs!I11</f>
        <v>-109260.0</v>
      </c>
      <c r="J11">
        <f>-Costs!J11</f>
        <v>-114163.0</v>
      </c>
      <c r="K11">
        <f>-Costs!K11</f>
        <v>-119290.0</v>
      </c>
      <c r="L11">
        <f>-Costs!L11</f>
        <v>-124637.0</v>
      </c>
      <c r="M11">
        <f>-Costs!M11</f>
        <v>-130234.0</v>
      </c>
      <c r="N11">
        <f>-Costs!N11</f>
        <v>-136077.0</v>
      </c>
      <c r="O11">
        <f>-Costs!O11</f>
        <v>-142187.0</v>
      </c>
      <c r="P11">
        <f>-Costs!P11</f>
        <v>-148570.0</v>
      </c>
      <c r="Q11">
        <f>-Costs!Q11</f>
        <v>-155228.0</v>
      </c>
      <c r="R11">
        <f>-Costs!R11</f>
        <v>-162196.0</v>
      </c>
      <c r="S11">
        <f>-Costs!S11</f>
        <v>-169469.0</v>
      </c>
      <c r="T11">
        <f>-Costs!T11</f>
        <v>-177081.0</v>
      </c>
      <c r="U11">
        <f>-Costs!U11</f>
        <v>-185035.0</v>
      </c>
      <c r="V11">
        <f>-Costs!V11</f>
        <v>-193327.0</v>
      </c>
      <c r="W11">
        <f>-Costs!W11</f>
        <v>-201998.0</v>
      </c>
      <c r="X11">
        <f>-Costs!X11</f>
        <v>-211055.0</v>
      </c>
      <c r="Y11">
        <f>-Costs!Y11</f>
        <v>-220533.0</v>
      </c>
      <c r="Z11">
        <f>-Costs!Z11</f>
        <v>-230422.0</v>
      </c>
      <c r="AA11">
        <f>SUM(C11:Z11)</f>
        <v>-3494542.0</v>
      </c>
    </row>
    <row r="12">
      <c r="A12" t="inlineStr">
        <is>
          <t>Overhead</t>
        </is>
      </c>
      <c r="C12">
        <f>-Costs!C12</f>
        <v>-35000.0</v>
      </c>
      <c r="D12">
        <f>-Costs!D12</f>
        <v>-35280.0</v>
      </c>
      <c r="E12">
        <f>-Costs!E12</f>
        <v>-35562.0</v>
      </c>
      <c r="F12">
        <f>-Costs!F12</f>
        <v>-35846.0</v>
      </c>
      <c r="G12">
        <f>-Costs!G12</f>
        <v>-36133.0</v>
      </c>
      <c r="H12">
        <f>-Costs!H12</f>
        <v>-36422.0</v>
      </c>
      <c r="I12">
        <f>-Costs!I12</f>
        <v>-36713.0</v>
      </c>
      <c r="J12">
        <f>-Costs!J12</f>
        <v>-37007.0</v>
      </c>
      <c r="K12">
        <f>-Costs!K12</f>
        <v>-37303.0</v>
      </c>
      <c r="L12">
        <f>-Costs!L12</f>
        <v>-37601.0</v>
      </c>
      <c r="M12">
        <f>-Costs!M12</f>
        <v>-37902.0</v>
      </c>
      <c r="N12">
        <f>-Costs!N12</f>
        <v>-38205.0</v>
      </c>
      <c r="O12">
        <f>-Costs!O12</f>
        <v>-38511.0</v>
      </c>
      <c r="P12">
        <f>-Costs!P12</f>
        <v>-38819.0</v>
      </c>
      <c r="Q12">
        <f>-Costs!Q12</f>
        <v>-39130.0</v>
      </c>
      <c r="R12">
        <f>-Costs!R12</f>
        <v>-39443.0</v>
      </c>
      <c r="S12">
        <f>-Costs!S12</f>
        <v>-39759.0</v>
      </c>
      <c r="T12">
        <f>-Costs!T12</f>
        <v>-40077.0</v>
      </c>
      <c r="U12">
        <f>-Costs!U12</f>
        <v>-40398.0</v>
      </c>
      <c r="V12">
        <f>-Costs!V12</f>
        <v>-40721.0</v>
      </c>
      <c r="W12">
        <f>-Costs!W12</f>
        <v>-41047.0</v>
      </c>
      <c r="X12">
        <f>-Costs!X12</f>
        <v>-41375.0</v>
      </c>
      <c r="Y12">
        <f>-Costs!Y12</f>
        <v>-41706.0</v>
      </c>
      <c r="Z12">
        <f>-Costs!Z12</f>
        <v>-42040.0</v>
      </c>
      <c r="AA12">
        <f>SUM(C12:Z12)</f>
        <v>-922000.0</v>
      </c>
    </row>
    <row r="13">
      <c r="A13" t="inlineStr">
        <is>
          <t>Total operating costs</t>
        </is>
      </c>
      <c r="C13">
        <f>C10+C11+C12</f>
        <v>-236316.0</v>
      </c>
      <c r="D13">
        <f>D10+D11+D12</f>
        <v>-253400.0</v>
      </c>
      <c r="E13">
        <f>E10+E11+E12</f>
        <v>-270669.0</v>
      </c>
      <c r="F13">
        <f>F10+F11+F12</f>
        <v>-288109.0</v>
      </c>
      <c r="G13">
        <f>G10+G11+G12</f>
        <v>-305730.0</v>
      </c>
      <c r="H13">
        <f>H10+H11+H12</f>
        <v>-323548.0</v>
      </c>
      <c r="I13">
        <f>I10+I11+I12</f>
        <v>-341571.0</v>
      </c>
      <c r="J13">
        <f>J10+J11+J12</f>
        <v>-359808.0</v>
      </c>
      <c r="K13">
        <f>K10+K11+K12</f>
        <v>-378270.0</v>
      </c>
      <c r="L13">
        <f>L10+L11+L12</f>
        <v>-396955.0</v>
      </c>
      <c r="M13">
        <f>M10+M11+M12</f>
        <v>-415893.0</v>
      </c>
      <c r="N13">
        <f>N10+N11+N12</f>
        <v>-435078.0</v>
      </c>
      <c r="O13">
        <f>O10+O11+O12</f>
        <v>-454535.0</v>
      </c>
      <c r="P13">
        <f>P10+P11+P12</f>
        <v>-474266.0</v>
      </c>
      <c r="Q13">
        <f>Q10+Q11+Q12</f>
        <v>-494274.0</v>
      </c>
      <c r="R13">
        <f>R10+R11+R12</f>
        <v>-514595.0</v>
      </c>
      <c r="S13">
        <f>S10+S11+S12</f>
        <v>-535224.0</v>
      </c>
      <c r="T13">
        <f>T10+T11+T12</f>
        <v>-556193.0</v>
      </c>
      <c r="U13">
        <f>U10+U11+U12</f>
        <v>-577509.0</v>
      </c>
      <c r="V13">
        <f>V10+V11+V12</f>
        <v>-599164.0</v>
      </c>
      <c r="W13">
        <f>W10+W11+W12</f>
        <v>-621200.0</v>
      </c>
      <c r="X13">
        <f>X10+X11+X12</f>
        <v>-643625.0</v>
      </c>
      <c r="Y13">
        <f>Y10+Y11+Y12</f>
        <v>-666474.0</v>
      </c>
      <c r="Z13">
        <f>Z10+Z11+Z12</f>
        <v>-689736.0</v>
      </c>
      <c r="AA13">
        <f>SUM(C13:Z13)</f>
        <v>-10832142.0</v>
      </c>
    </row>
    <row r="15">
      <c r="A15" t="inlineStr">
        <is>
          <t>EBITDA</t>
        </is>
      </c>
      <c r="C15">
        <f>C7+C13</f>
        <v>364685.0</v>
      </c>
      <c r="D15">
        <f>D7+D13</f>
        <v>374541.0</v>
      </c>
      <c r="E15">
        <f>E7+E13</f>
        <v>385537.0</v>
      </c>
      <c r="F15">
        <f>F7+F13</f>
        <v>397560.0</v>
      </c>
      <c r="G15">
        <f>G7+G13</f>
        <v>410677.0</v>
      </c>
      <c r="H15">
        <f>H7+H13</f>
        <v>424999.0</v>
      </c>
      <c r="I15">
        <f>I7+I13</f>
        <v>440554.0</v>
      </c>
      <c r="J15">
        <f>J7+J13</f>
        <v>457415.0</v>
      </c>
      <c r="K15">
        <f>K7+K13</f>
        <v>475654.0</v>
      </c>
      <c r="L15">
        <f>L7+L13</f>
        <v>495247.0</v>
      </c>
      <c r="M15">
        <f>M7+M13</f>
        <v>516376.0</v>
      </c>
      <c r="N15">
        <f>N7+N13</f>
        <v>539013.0</v>
      </c>
      <c r="O15">
        <f>O7+O13</f>
        <v>563299.0</v>
      </c>
      <c r="P15">
        <f>P7+P13</f>
        <v>589255.0</v>
      </c>
      <c r="Q15">
        <f>Q7+Q13</f>
        <v>616910.0</v>
      </c>
      <c r="R15">
        <f>R7+R13</f>
        <v>646473.0</v>
      </c>
      <c r="S15">
        <f>S7+S13</f>
        <v>677901.0</v>
      </c>
      <c r="T15">
        <f>T7+T13</f>
        <v>711424.0</v>
      </c>
      <c r="U15">
        <f>U7+U13</f>
        <v>747047.0</v>
      </c>
      <c r="V15">
        <f>V7+V13</f>
        <v>784752.0</v>
      </c>
      <c r="W15">
        <f>W7+W13</f>
        <v>824782.0</v>
      </c>
      <c r="X15">
        <f>X7+X13</f>
        <v>867194.0</v>
      </c>
      <c r="Y15">
        <f>Y7+Y13</f>
        <v>912192.0</v>
      </c>
      <c r="Z15">
        <f>Z7+Z13</f>
        <v>959717.0</v>
      </c>
      <c r="AA15">
        <f>SUM(C15:Z15)</f>
        <v>14183204.0</v>
      </c>
    </row>
    <row r="16">
      <c r="A16" t="inlineStr">
        <is>
          <t>EBITDA margin</t>
        </is>
      </c>
      <c r="C16">
        <f>IF(C5=0,0,ROUND(C15/C5,4))</f>
        <v>0.4908</v>
      </c>
      <c r="D16">
        <f>IF(D5=0,0,ROUND(D15/D5,4))</f>
        <v>0.4825</v>
      </c>
      <c r="E16">
        <f>IF(E5=0,0,ROUND(E15/E5,4))</f>
        <v>0.4752</v>
      </c>
      <c r="F16">
        <f>IF(F5=0,0,ROUND(F15/F5,4))</f>
        <v>0.469</v>
      </c>
      <c r="G16">
        <f>IF(G5=0,0,ROUND(G15/G5,4))</f>
        <v>0.4637</v>
      </c>
      <c r="H16">
        <f>IF(H5=0,0,ROUND(H15/H5,4))</f>
        <v>0.4593</v>
      </c>
      <c r="I16">
        <f>IF(I5=0,0,ROUND(I15/I5,4))</f>
        <v>0.4556</v>
      </c>
      <c r="J16">
        <f>IF(J5=0,0,ROUND(J15/J5,4))</f>
        <v>0.4528</v>
      </c>
      <c r="K16">
        <f>IF(K5=0,0,ROUND(K15/K5,4))</f>
        <v>0.4506</v>
      </c>
      <c r="L16">
        <f>IF(L5=0,0,ROUND(L15/L5,4))</f>
        <v>0.449</v>
      </c>
      <c r="M16">
        <f>IF(M5=0,0,ROUND(M15/M5,4))</f>
        <v>0.448</v>
      </c>
      <c r="N16">
        <f>IF(N5=0,0,ROUND(N15/N5,4))</f>
        <v>0.4476</v>
      </c>
      <c r="O16">
        <f>IF(O5=0,0,ROUND(O15/O5,4))</f>
        <v>0.4477</v>
      </c>
      <c r="P16">
        <f>IF(P5=0,0,ROUND(P15/P5,4))</f>
        <v>0.4482</v>
      </c>
      <c r="Q16">
        <f>IF(Q5=0,0,ROUND(Q15/Q5,4))</f>
        <v>0.4491</v>
      </c>
      <c r="R16">
        <f>IF(R5=0,0,ROUND(R15/R5,4))</f>
        <v>0.4504</v>
      </c>
      <c r="S16">
        <f>IF(S5=0,0,ROUND(S15/S5,4))</f>
        <v>0.452</v>
      </c>
      <c r="T16">
        <f>IF(T5=0,0,ROUND(T15/T5,4))</f>
        <v>0.454</v>
      </c>
      <c r="U16">
        <f>IF(U5=0,0,ROUND(U15/U5,4))</f>
        <v>0.4562</v>
      </c>
      <c r="V16">
        <f>IF(V5=0,0,ROUND(V15/V5,4))</f>
        <v>0.4587</v>
      </c>
      <c r="W16">
        <f>IF(W5=0,0,ROUND(W15/W5,4))</f>
        <v>0.4614</v>
      </c>
      <c r="X16">
        <f>IF(X5=0,0,ROUND(X15/X5,4))</f>
        <v>0.4643</v>
      </c>
      <c r="Y16">
        <f>IF(Y5=0,0,ROUND(Y15/Y5,4))</f>
        <v>0.4674</v>
      </c>
      <c r="Z16">
        <f>IF(Z5=0,0,ROUND(Z15/Z5,4))</f>
        <v>0.4706</v>
      </c>
    </row>
    <row r="18">
      <c r="A18" t="inlineStr">
        <is>
          <t>Cumulative EBITDA</t>
        </is>
      </c>
      <c r="C18">
        <f>C15</f>
        <v>364685.0</v>
      </c>
      <c r="D18">
        <f>C18+D15</f>
        <v>739226.0</v>
      </c>
      <c r="E18">
        <f>D18+E15</f>
        <v>1124763.0</v>
      </c>
      <c r="F18">
        <f>E18+F15</f>
        <v>1522323.0</v>
      </c>
      <c r="G18">
        <f>F18+G15</f>
        <v>1933000.0</v>
      </c>
      <c r="H18">
        <f>G18+H15</f>
        <v>2357999.0</v>
      </c>
      <c r="I18">
        <f>H18+I15</f>
        <v>2798553.0</v>
      </c>
      <c r="J18">
        <f>I18+J15</f>
        <v>3255968.0</v>
      </c>
      <c r="K18">
        <f>J18+K15</f>
        <v>3731622.0</v>
      </c>
      <c r="L18">
        <f>K18+L15</f>
        <v>4226869.0</v>
      </c>
      <c r="M18">
        <f>L18+M15</f>
        <v>4743245.0</v>
      </c>
      <c r="N18">
        <f>M18+N15</f>
        <v>5282258.0</v>
      </c>
      <c r="O18">
        <f>N18+O15</f>
        <v>5845557.0</v>
      </c>
      <c r="P18">
        <f>O18+P15</f>
        <v>6434812.0</v>
      </c>
      <c r="Q18">
        <f>P18+Q15</f>
        <v>7051722.0</v>
      </c>
      <c r="R18">
        <f>Q18+R15</f>
        <v>7698195.0</v>
      </c>
      <c r="S18">
        <f>R18+S15</f>
        <v>8376096.0</v>
      </c>
      <c r="T18">
        <f>S18+T15</f>
        <v>9087520.0</v>
      </c>
      <c r="U18">
        <f>T18+U15</f>
        <v>9834567.0</v>
      </c>
      <c r="V18">
        <f>U18+V15</f>
        <v>10619319.0</v>
      </c>
      <c r="W18">
        <f>V18+W15</f>
        <v>11444101.0</v>
      </c>
      <c r="X18">
        <f>W18+X15</f>
        <v>12311295.0</v>
      </c>
      <c r="Y18">
        <f>X18+Y15</f>
        <v>13223487.0</v>
      </c>
      <c r="Z18">
        <f>Y18+Z15</f>
        <v>14183204.0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Valuation</t>
        </is>
      </c>
    </row>
    <row r="3">
      <c r="A3" t="inlineStr">
        <is>
          <t>Total revenue</t>
        </is>
      </c>
      <c r="B3">
        <f>Revenue!Z17</f>
        <v>30925141.0</v>
      </c>
    </row>
    <row r="4">
      <c r="A4" t="inlineStr">
        <is>
          <t>Total EBITDA</t>
        </is>
      </c>
      <c r="B4">
        <f>'P&amp;L'!AA15</f>
        <v>14183204.0</v>
      </c>
    </row>
    <row r="5">
      <c r="A5" t="inlineStr">
        <is>
          <t>Exit run rate EBITDA</t>
        </is>
      </c>
      <c r="B5">
        <f>SUM('P&amp;L'!O15:Z15)</f>
        <v>8900946.0</v>
      </c>
    </row>
    <row r="6">
      <c r="A6" t="inlineStr">
        <is>
          <t>EBITDA multiple</t>
        </is>
      </c>
      <c r="B6">
        <f>Assumptions!$B$21</f>
        <v>9.1</v>
      </c>
    </row>
    <row r="7">
      <c r="A7" t="inlineStr">
        <is>
          <t>Enterprise value</t>
        </is>
      </c>
      <c r="B7">
        <f>ROUND(B5*B6,0)</f>
        <v>80998609.0</v>
      </c>
    </row>
    <row r="8">
      <c r="A8" t="inlineStr">
        <is>
          <t>Net debt</t>
        </is>
      </c>
      <c r="B8">
        <f>Assumptions!$B$22</f>
        <v>4300000.0</v>
      </c>
    </row>
    <row r="9">
      <c r="A9" t="inlineStr">
        <is>
          <t>Equity value</t>
        </is>
      </c>
      <c r="B9">
        <f>B7-B8</f>
        <v>76698609.0</v>
      </c>
    </row>
    <row r="11">
      <c r="A11" t="inlineStr">
        <is>
          <t>Average monthly EBITDA</t>
        </is>
      </c>
      <c r="B11">
        <f>AVERAGE('P&amp;L'!C15:Z15)</f>
        <v>590966.8333333334</v>
      </c>
    </row>
    <row r="12">
      <c r="A12" t="inlineStr">
        <is>
          <t>Best month</t>
        </is>
      </c>
      <c r="B12">
        <f>MAX('P&amp;L'!C15:Z15)</f>
        <v>959717.0</v>
      </c>
    </row>
    <row r="13">
      <c r="A13" t="inlineStr">
        <is>
          <t>Worst month</t>
        </is>
      </c>
      <c r="B13">
        <f>MIN('P&amp;L'!C15:Z15)</f>
        <v>364685.0</v>
      </c>
    </row>
    <row r="14">
      <c r="A14" t="inlineStr">
        <is>
          <t>Sum of positive months</t>
        </is>
      </c>
      <c r="B14">
        <f>SUMIF('P&amp;L'!C15:Z15,"&gt;0")</f>
        <v>14183204.0</v>
      </c>
    </row>
    <row r="15">
      <c r="A15" t="inlineStr">
        <is>
          <t>Best to worst swing</t>
        </is>
      </c>
      <c r="B15">
        <f>ABS(B12-B13)</f>
        <v>595032.0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materia</dc:creator>
  <dcterms:created xsi:type="dcterms:W3CDTF">1980-01-01T00:00:00Z</dcterms:created>
  <dcterms:modified xsi:type="dcterms:W3CDTF">1980-01-01T00:00:00Z</dcterms:modified>
  <cp:lastModifiedBy>materia</cp:lastModifiedBy>
</cp:coreProperties>
</file>