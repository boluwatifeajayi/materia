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Revenue" sheetId="2" state="visible" r:id="rId2"/>
    <sheet name="Costs" sheetId="3" state="visible" r:id="rId3"/>
    <sheet name="P&amp;L" sheetId="4" state="visible" r:id="rId4"/>
    <sheet name="Valu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Finance</author>
  </authors>
  <commentList>
    <comment ref="I12" authorId="0" shapeId="0">
      <text>
        <t>One off office move approved by the board in month 7. Held at this figure on purpose, do not restore the inflation formula.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Assumptions</t>
        </is>
      </c>
    </row>
    <row r="3">
      <c r="A3" t="inlineStr">
        <is>
          <t>Revenue drivers</t>
        </is>
      </c>
    </row>
    <row r="4">
      <c r="A4" t="inlineStr">
        <is>
          <t>Opening customers</t>
        </is>
      </c>
      <c r="B4" t="n">
        <v>8200</v>
      </c>
    </row>
    <row r="5">
      <c r="A5" t="inlineStr">
        <is>
          <t>Monthly new customer rate</t>
        </is>
      </c>
      <c r="B5" t="n">
        <v>0.0825</v>
      </c>
    </row>
    <row r="6">
      <c r="A6" t="inlineStr">
        <is>
          <t>Monthly churn rate</t>
        </is>
      </c>
      <c r="B6" t="n">
        <v>0.0194</v>
      </c>
    </row>
    <row r="7">
      <c r="A7" t="inlineStr">
        <is>
          <t>Opening ARPU</t>
        </is>
      </c>
      <c r="B7" t="n">
        <v>94.87</v>
      </c>
    </row>
    <row r="8">
      <c r="A8" t="inlineStr">
        <is>
          <t>Monthly ARPU uplift</t>
        </is>
      </c>
      <c r="B8" t="n">
        <v>0.008200000000000001</v>
      </c>
    </row>
    <row r="10">
      <c r="A10" t="inlineStr">
        <is>
          <t>Cost drivers</t>
        </is>
      </c>
    </row>
    <row r="11">
      <c r="A11" t="inlineStr">
        <is>
          <t>COGS as share of revenue</t>
        </is>
      </c>
      <c r="B11" t="n">
        <v>0.2484</v>
      </c>
    </row>
    <row r="12">
      <c r="A12" t="inlineStr">
        <is>
          <t>Opening headcount</t>
        </is>
      </c>
      <c r="B12" t="n">
        <v>23</v>
      </c>
    </row>
    <row r="13">
      <c r="A13" t="inlineStr">
        <is>
          <t>New hires per month</t>
        </is>
      </c>
      <c r="B13" t="n">
        <v>1</v>
      </c>
    </row>
    <row r="14">
      <c r="A14" t="inlineStr">
        <is>
          <t>Average salary</t>
        </is>
      </c>
      <c r="B14" t="n">
        <v>64000</v>
      </c>
    </row>
    <row r="15">
      <c r="A15" t="inlineStr">
        <is>
          <t>Payroll tax rate</t>
        </is>
      </c>
      <c r="B15" t="n">
        <v>0.1174</v>
      </c>
    </row>
    <row r="16">
      <c r="A16" t="inlineStr">
        <is>
          <t>Marketing as share of revenue</t>
        </is>
      </c>
      <c r="B16" t="n">
        <v>0.0921</v>
      </c>
    </row>
    <row r="17">
      <c r="A17" t="inlineStr">
        <is>
          <t>Monthly overhead</t>
        </is>
      </c>
      <c r="B17" t="n">
        <v>26000</v>
      </c>
    </row>
    <row r="18">
      <c r="A18" t="inlineStr">
        <is>
          <t>Monthly overhead inflation</t>
        </is>
      </c>
      <c r="B18" t="n">
        <v>0.0054</v>
      </c>
    </row>
    <row r="20">
      <c r="A20" t="inlineStr">
        <is>
          <t>Valuation drivers</t>
        </is>
      </c>
    </row>
    <row r="21">
      <c r="A21" t="inlineStr">
        <is>
          <t>EBITDA multiple</t>
        </is>
      </c>
      <c r="B21" t="n">
        <v>6.4</v>
      </c>
    </row>
    <row r="22">
      <c r="A22" t="inlineStr">
        <is>
          <t>Net debt</t>
        </is>
      </c>
      <c r="B22" t="n">
        <v>4750000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build</t>
        </is>
      </c>
    </row>
    <row r="2">
      <c r="A2" t="inlineStr">
        <is>
          <t>Status</t>
        </is>
      </c>
      <c r="C2" t="inlineStr">
        <is>
          <t>Actual</t>
        </is>
      </c>
      <c r="D2" t="inlineStr">
        <is>
          <t>Actual</t>
        </is>
      </c>
      <c r="E2" t="inlineStr">
        <is>
          <t>Actual</t>
        </is>
      </c>
      <c r="F2" t="inlineStr">
        <is>
          <t>Forecast</t>
        </is>
      </c>
      <c r="G2" t="inlineStr">
        <is>
          <t>Forecast</t>
        </is>
      </c>
      <c r="H2" t="inlineStr">
        <is>
          <t>Forecast</t>
        </is>
      </c>
      <c r="I2" t="inlineStr">
        <is>
          <t>Forecast</t>
        </is>
      </c>
      <c r="J2" t="inlineStr">
        <is>
          <t>Forecast</t>
        </is>
      </c>
      <c r="K2" t="inlineStr">
        <is>
          <t>Forecast</t>
        </is>
      </c>
      <c r="L2" t="inlineStr">
        <is>
          <t>Forecast</t>
        </is>
      </c>
      <c r="M2" t="inlineStr">
        <is>
          <t>Forecast</t>
        </is>
      </c>
      <c r="N2" t="inlineStr">
        <is>
          <t>Forecast</t>
        </is>
      </c>
      <c r="O2" t="inlineStr">
        <is>
          <t>Forecast</t>
        </is>
      </c>
      <c r="P2" t="inlineStr">
        <is>
          <t>Forecast</t>
        </is>
      </c>
      <c r="Q2" t="inlineStr">
        <is>
          <t>Forecast</t>
        </is>
      </c>
      <c r="R2" t="inlineStr">
        <is>
          <t>Forecast</t>
        </is>
      </c>
      <c r="S2" t="inlineStr">
        <is>
          <t>Forecast</t>
        </is>
      </c>
      <c r="T2" t="inlineStr">
        <is>
          <t>Forecast</t>
        </is>
      </c>
      <c r="U2" t="inlineStr">
        <is>
          <t>Forecast</t>
        </is>
      </c>
      <c r="V2" t="inlineStr">
        <is>
          <t>Forecast</t>
        </is>
      </c>
      <c r="W2" t="inlineStr">
        <is>
          <t>Forecast</t>
        </is>
      </c>
      <c r="X2" t="inlineStr">
        <is>
          <t>Forecast</t>
        </is>
      </c>
      <c r="Y2" t="inlineStr">
        <is>
          <t>Forecast</t>
        </is>
      </c>
      <c r="Z2" t="inlineStr">
        <is>
          <t>Forecast</t>
        </is>
      </c>
    </row>
    <row r="3">
      <c r="A3" t="inlineStr">
        <is>
          <t>Month</t>
        </is>
      </c>
      <c r="C3" t="n">
        <v>1</v>
      </c>
      <c r="D3">
        <f>C3+1</f>
        <v>2.0</v>
      </c>
      <c r="E3">
        <f>D3+1</f>
        <v>3.0</v>
      </c>
      <c r="F3">
        <f>E3+1</f>
        <v>4.0</v>
      </c>
      <c r="G3">
        <f>F3+1</f>
        <v>5.0</v>
      </c>
      <c r="H3">
        <f>G3+1</f>
        <v>6.0</v>
      </c>
      <c r="I3">
        <f>H3+1</f>
        <v>7.0</v>
      </c>
      <c r="J3">
        <f>I3+1</f>
        <v>8.0</v>
      </c>
      <c r="K3">
        <f>J3+1</f>
        <v>9.0</v>
      </c>
      <c r="L3">
        <f>K3+1</f>
        <v>10.0</v>
      </c>
      <c r="M3">
        <f>L3+1</f>
        <v>11.0</v>
      </c>
      <c r="N3">
        <f>M3+1</f>
        <v>12.0</v>
      </c>
      <c r="O3">
        <f>N3+1</f>
        <v>13.0</v>
      </c>
      <c r="P3">
        <f>O3+1</f>
        <v>14.0</v>
      </c>
      <c r="Q3">
        <f>P3+1</f>
        <v>15.0</v>
      </c>
      <c r="R3">
        <f>Q3+1</f>
        <v>16.0</v>
      </c>
      <c r="S3">
        <f>R3+1</f>
        <v>17.0</v>
      </c>
      <c r="T3">
        <f>S3+1</f>
        <v>18.0</v>
      </c>
      <c r="U3">
        <f>T3+1</f>
        <v>19.0</v>
      </c>
      <c r="V3">
        <f>U3+1</f>
        <v>20.0</v>
      </c>
      <c r="W3">
        <f>V3+1</f>
        <v>21.0</v>
      </c>
      <c r="X3">
        <f>W3+1</f>
        <v>22.0</v>
      </c>
      <c r="Y3">
        <f>X3+1</f>
        <v>23.0</v>
      </c>
      <c r="Z3">
        <f>Y3+1</f>
        <v>24.0</v>
      </c>
    </row>
    <row r="5">
      <c r="A5" t="inlineStr">
        <is>
          <t>Opening customers</t>
        </is>
      </c>
      <c r="C5">
        <f>Assumptions!$B$4</f>
        <v>8200.0</v>
      </c>
      <c r="D5">
        <f>C9</f>
        <v>8718.0</v>
      </c>
      <c r="E5">
        <f>D9</f>
        <v>9268.0</v>
      </c>
      <c r="F5">
        <f>E9</f>
        <v>9853.0</v>
      </c>
      <c r="G5">
        <f>F9</f>
        <v>10475.0</v>
      </c>
      <c r="H5">
        <f>G9</f>
        <v>11136.0</v>
      </c>
      <c r="I5">
        <f>H9</f>
        <v>11839.0</v>
      </c>
      <c r="J5">
        <f>I9</f>
        <v>12586.0</v>
      </c>
      <c r="K5">
        <f>J9</f>
        <v>13380.0</v>
      </c>
      <c r="L5">
        <f>K9</f>
        <v>14224.0</v>
      </c>
      <c r="M5">
        <f>L9</f>
        <v>15121.0</v>
      </c>
      <c r="N5">
        <f>M9</f>
        <v>16075.0</v>
      </c>
      <c r="O5">
        <f>N9</f>
        <v>17089.0</v>
      </c>
      <c r="P5">
        <f>O9</f>
        <v>18167.0</v>
      </c>
      <c r="Q5">
        <f>P9</f>
        <v>19314.0</v>
      </c>
      <c r="R5">
        <f>Q9</f>
        <v>20532.0</v>
      </c>
      <c r="S5">
        <f>R9</f>
        <v>21828.0</v>
      </c>
      <c r="T5">
        <f>S9</f>
        <v>23206.0</v>
      </c>
      <c r="U5">
        <f>T9</f>
        <v>24670.0</v>
      </c>
      <c r="V5">
        <f>U9</f>
        <v>26226.0</v>
      </c>
      <c r="W5">
        <f>V9</f>
        <v>27881.0</v>
      </c>
      <c r="X5">
        <f>W9</f>
        <v>29640.0</v>
      </c>
      <c r="Y5">
        <f>X9</f>
        <v>31510.0</v>
      </c>
      <c r="Z5">
        <f>Y9</f>
        <v>33499.0</v>
      </c>
    </row>
    <row r="6">
      <c r="A6" t="inlineStr">
        <is>
          <t>New customers</t>
        </is>
      </c>
      <c r="C6">
        <f>ROUND(C5*Assumptions!$B$5,0)</f>
        <v>677.0</v>
      </c>
      <c r="D6">
        <f>ROUND(D5*Assumptions!$B$5,0)</f>
        <v>719.0</v>
      </c>
      <c r="E6">
        <f>ROUND(E5*Assumptions!$B$5,0)</f>
        <v>765.0</v>
      </c>
      <c r="F6">
        <f>ROUND(F5*Assumptions!$B$5,0)</f>
        <v>813.0</v>
      </c>
      <c r="G6">
        <f>ROUND(G5*Assumptions!$B$5,0)</f>
        <v>864.0</v>
      </c>
      <c r="H6">
        <f>ROUND(H5*Assumptions!$B$5,0)</f>
        <v>919.0</v>
      </c>
      <c r="I6">
        <f>ROUND(I5*Assumptions!$B$5,0)</f>
        <v>977.0</v>
      </c>
      <c r="J6">
        <f>ROUND(J5*Assumptions!$B$5,0)</f>
        <v>1038.0</v>
      </c>
      <c r="K6">
        <f>ROUND(K5*Assumptions!$B$5,0)</f>
        <v>1104.0</v>
      </c>
      <c r="L6">
        <f>ROUND(L5*Assumptions!$B$5,0)</f>
        <v>1173.0</v>
      </c>
      <c r="M6">
        <f>ROUND(M5*Assumptions!$B$5,0)</f>
        <v>1247.0</v>
      </c>
      <c r="N6">
        <f>ROUND(N5*Assumptions!$B$5,0)</f>
        <v>1326.0</v>
      </c>
      <c r="O6">
        <f>ROUND(O5*Assumptions!$B$5,0)</f>
        <v>1410.0</v>
      </c>
      <c r="P6">
        <f>ROUND(P5*Assumptions!$B$5,0)</f>
        <v>1499.0</v>
      </c>
      <c r="Q6">
        <f>ROUND(Q5*Assumptions!$B$5,0)</f>
        <v>1593.0</v>
      </c>
      <c r="R6">
        <f>ROUND(R5*Assumptions!$B$5,0)</f>
        <v>1694.0</v>
      </c>
      <c r="S6">
        <f>ROUND(S5*Assumptions!$B$5,0)</f>
        <v>1801.0</v>
      </c>
      <c r="T6">
        <f>ROUND(T5*Assumptions!$B$5,0)</f>
        <v>1914.0</v>
      </c>
      <c r="U6">
        <f>ROUND(U5*Assumptions!$B$5,0)</f>
        <v>2035.0</v>
      </c>
      <c r="V6">
        <f>ROUND(V5*Assumptions!$B$5,0)</f>
        <v>2164.0</v>
      </c>
      <c r="W6">
        <f>ROUND(W5*Assumptions!$B$5,0)</f>
        <v>2300.0</v>
      </c>
      <c r="X6">
        <f>ROUND(X5*Assumptions!$B$5,0)</f>
        <v>2445.0</v>
      </c>
      <c r="Y6">
        <f>ROUND(Y5*Assumptions!$B$5,0)</f>
        <v>2600.0</v>
      </c>
      <c r="Z6">
        <f>ROUND(Z5*Assumptions!$B$5,0)</f>
        <v>2764.0</v>
      </c>
    </row>
    <row r="7">
      <c r="A7" t="inlineStr">
        <is>
          <t>Churned customers</t>
        </is>
      </c>
      <c r="C7">
        <f>-ROUND(C5*Assumptions!$B$6,0)</f>
        <v>-159.0</v>
      </c>
      <c r="D7">
        <f>-ROUND(D5*Assumptions!$B$6,0)</f>
        <v>-169.0</v>
      </c>
      <c r="E7">
        <f>-ROUND(E5*Assumptions!$B$6,0)</f>
        <v>-180.0</v>
      </c>
      <c r="F7">
        <f>-ROUND(F5*Assumptions!$B$6,0)</f>
        <v>-191.0</v>
      </c>
      <c r="G7">
        <f>-ROUND(G5*Assumptions!$B$6,0)</f>
        <v>-203.0</v>
      </c>
      <c r="H7">
        <f>-ROUND(H5*Assumptions!$B$6,0)</f>
        <v>-216.0</v>
      </c>
      <c r="I7">
        <f>-ROUND(I5*Assumptions!$B$6,0)</f>
        <v>-230.0</v>
      </c>
      <c r="J7">
        <f>-ROUND(J5*Assumptions!$B$6,0)</f>
        <v>-244.0</v>
      </c>
      <c r="K7">
        <f>-ROUND(K5*Assumptions!$B$6,0)</f>
        <v>-260.0</v>
      </c>
      <c r="L7">
        <f>-ROUND(L5*Assumptions!$B$6,0)</f>
        <v>-276.0</v>
      </c>
      <c r="M7">
        <f>-ROUND(M5*Assumptions!$B$6,0)</f>
        <v>-293.0</v>
      </c>
      <c r="N7">
        <f>-ROUND(N5*Assumptions!$B$6,0)</f>
        <v>-312.0</v>
      </c>
      <c r="O7">
        <f>-ROUND(O5*Assumptions!$B$6,0)</f>
        <v>-332.0</v>
      </c>
      <c r="P7">
        <f>-ROUND(P5*Assumptions!$B$6,0)</f>
        <v>-352.0</v>
      </c>
      <c r="Q7">
        <f>-ROUND(Q5*Assumptions!$B$6,0)</f>
        <v>-375.0</v>
      </c>
      <c r="R7">
        <f>-ROUND(R5*Assumptions!$B$6,0)</f>
        <v>-398.0</v>
      </c>
      <c r="S7">
        <f>-ROUND(S5*Assumptions!$B$6,0)</f>
        <v>-423.0</v>
      </c>
      <c r="T7">
        <f>-ROUND(T5*Assumptions!$B$6,0)</f>
        <v>-450.0</v>
      </c>
      <c r="U7">
        <f>-ROUND(U5*Assumptions!$B$6,0)</f>
        <v>-479.0</v>
      </c>
      <c r="V7">
        <f>-ROUND(V5*Assumptions!$B$6,0)</f>
        <v>-509.0</v>
      </c>
      <c r="W7">
        <f>-ROUND(W5*Assumptions!$B$6,0)</f>
        <v>-541.0</v>
      </c>
      <c r="X7">
        <f>-ROUND(X5*Assumptions!$B$6,0)</f>
        <v>-575.0</v>
      </c>
      <c r="Y7">
        <f>-ROUND(Y5*Assumptions!$B$6,0)</f>
        <v>-611.0</v>
      </c>
      <c r="Z7">
        <f>-ROUND(Z5*Assumptions!$B$6,0)</f>
        <v>-650.0</v>
      </c>
    </row>
    <row r="9">
      <c r="A9" t="inlineStr">
        <is>
          <t>Closing customers</t>
        </is>
      </c>
      <c r="C9">
        <f>C5+C6+C7</f>
        <v>8718.0</v>
      </c>
      <c r="D9">
        <f>D5+D6+D7</f>
        <v>9268.0</v>
      </c>
      <c r="E9">
        <f>E5+E6+E7</f>
        <v>9853.0</v>
      </c>
      <c r="F9">
        <f>F5+F6+F7</f>
        <v>10475.0</v>
      </c>
      <c r="G9">
        <f>G5+G6+G7</f>
        <v>11136.0</v>
      </c>
      <c r="H9">
        <f>H5+H6+H7</f>
        <v>11839.0</v>
      </c>
      <c r="I9">
        <f>I5+I6+I7</f>
        <v>12586.0</v>
      </c>
      <c r="J9">
        <f>J5+J6+J7</f>
        <v>13380.0</v>
      </c>
      <c r="K9">
        <f>K5+K6+K7</f>
        <v>14224.0</v>
      </c>
      <c r="L9">
        <f>L5+L6+L7</f>
        <v>15121.0</v>
      </c>
      <c r="M9">
        <f>M5+M6+M7</f>
        <v>16075.0</v>
      </c>
      <c r="N9">
        <f>N5+N6+N7</f>
        <v>17089.0</v>
      </c>
      <c r="O9">
        <f>O5+O6+O7</f>
        <v>18167.0</v>
      </c>
      <c r="P9">
        <f>P5+P6+P7</f>
        <v>19314.0</v>
      </c>
      <c r="Q9">
        <f>Q5+Q6+Q7</f>
        <v>20532.0</v>
      </c>
      <c r="R9">
        <f>R5+R6+R7</f>
        <v>21828.0</v>
      </c>
      <c r="S9">
        <f>S5+S6+S7</f>
        <v>23206.0</v>
      </c>
      <c r="T9">
        <f>T5+T6+T7</f>
        <v>24670.0</v>
      </c>
      <c r="U9">
        <f>U5+U6+U7</f>
        <v>26226.0</v>
      </c>
      <c r="V9">
        <f>V5+V6+V7</f>
        <v>27881.0</v>
      </c>
      <c r="W9">
        <f>W5+W6+W7</f>
        <v>29640.0</v>
      </c>
      <c r="X9">
        <f>X5+X6+X7</f>
        <v>31510.0</v>
      </c>
      <c r="Y9">
        <f>Y5+Y6+Y7</f>
        <v>33499.0</v>
      </c>
      <c r="Z9">
        <f>Z5+Z6+Z7</f>
        <v>35613.0</v>
      </c>
    </row>
    <row r="11">
      <c r="A11" t="inlineStr">
        <is>
          <t>ARPU</t>
        </is>
      </c>
      <c r="C11">
        <f>Assumptions!$B$7</f>
        <v>94.87</v>
      </c>
      <c r="D11">
        <f>ROUND(C11*(1+Assumptions!$B$8),2)</f>
        <v>95.65</v>
      </c>
      <c r="E11">
        <f>ROUND(D11*(1+Assumptions!$B$8),2)</f>
        <v>96.43</v>
      </c>
      <c r="F11">
        <f>ROUND(E11*(1+Assumptions!$B$8),2)</f>
        <v>97.22</v>
      </c>
      <c r="G11">
        <f>ROUND(F11*(1+Assumptions!$B$8),2)</f>
        <v>98.02</v>
      </c>
      <c r="H11">
        <f>ROUND(G11*(1+Assumptions!$B$8),2)</f>
        <v>98.82</v>
      </c>
      <c r="I11">
        <f>ROUND(H11*(1+Assumptions!$B$8),2)</f>
        <v>99.63</v>
      </c>
      <c r="J11">
        <f>ROUND(I11*(1+Assumptions!$B$8),2)</f>
        <v>100.45</v>
      </c>
      <c r="K11">
        <f>ROUND(J11*(1+Assumptions!$B$8),2)</f>
        <v>101.27</v>
      </c>
      <c r="L11">
        <f>ROUND(K11*(1+Assumptions!$B$8),2)</f>
        <v>102.1</v>
      </c>
      <c r="M11">
        <f>ROUND(L11*(1+Assumptions!$B$8),2)</f>
        <v>102.94</v>
      </c>
      <c r="N11">
        <f>ROUND(M11*(1+Assumptions!$B$8),2)</f>
        <v>103.78</v>
      </c>
      <c r="O11">
        <f>ROUND(N11*(1+Assumptions!$B$8),2)</f>
        <v>104.63</v>
      </c>
      <c r="P11">
        <f>ROUND(O11*(1+Assumptions!$B$8),2)</f>
        <v>105.49</v>
      </c>
      <c r="Q11">
        <f>ROUND(P11*(1+Assumptions!$B$8),2)</f>
        <v>106.36</v>
      </c>
      <c r="R11">
        <f>ROUND(Q11*(1+Assumptions!$B$8),2)</f>
        <v>107.23</v>
      </c>
      <c r="S11">
        <f>ROUND(R11*(1+Assumptions!$B$8),2)</f>
        <v>108.11</v>
      </c>
      <c r="T11">
        <f>ROUND(S11*(1+Assumptions!$B$8),2)</f>
        <v>109.0</v>
      </c>
      <c r="U11">
        <f>ROUND(T11*(1+Assumptions!$B$8),2)</f>
        <v>109.89</v>
      </c>
      <c r="V11">
        <f>ROUND(U11*(1+Assumptions!$B$8),2)</f>
        <v>110.79</v>
      </c>
      <c r="W11">
        <f>ROUND(V11*(1+Assumptions!$B$8),2)</f>
        <v>111.7</v>
      </c>
      <c r="X11">
        <f>ROUND(W11*(1+Assumptions!$B$8),2)</f>
        <v>112.62</v>
      </c>
      <c r="Y11">
        <f>ROUND(X11*(1+Assumptions!$B$8),2)</f>
        <v>113.54</v>
      </c>
      <c r="Z11">
        <f>ROUND(Y11*(1+Assumptions!$B$8),2)</f>
        <v>114.47</v>
      </c>
    </row>
    <row r="13">
      <c r="A13" t="inlineStr">
        <is>
          <t>Average customers</t>
        </is>
      </c>
      <c r="C13">
        <f>ROUND((C5+C9)/2,0)</f>
        <v>8459.0</v>
      </c>
      <c r="D13">
        <f>ROUND((D5+D9)/2,0)</f>
        <v>8993.0</v>
      </c>
      <c r="E13">
        <f>ROUND((E5+E9)/2,0)</f>
        <v>9561.0</v>
      </c>
      <c r="F13">
        <f>ROUND((F5+F9)/2,0)</f>
        <v>10164.0</v>
      </c>
      <c r="G13">
        <f>ROUND((G5+G9)/2,0)</f>
        <v>10806.0</v>
      </c>
      <c r="H13">
        <f>ROUND((H5+H9)/2,0)</f>
        <v>11488.0</v>
      </c>
      <c r="I13">
        <f>ROUND((I5+I9)/2,0)</f>
        <v>12213.0</v>
      </c>
      <c r="J13">
        <f>ROUND((J5+J9)/2,0)</f>
        <v>12983.0</v>
      </c>
      <c r="K13">
        <f>ROUND((K5+K9)/2,0)</f>
        <v>13802.0</v>
      </c>
      <c r="L13">
        <f>ROUND((L5+L9)/2,0)</f>
        <v>14673.0</v>
      </c>
      <c r="M13">
        <f>ROUND((M5+M9)/2,0)</f>
        <v>15598.0</v>
      </c>
      <c r="N13">
        <f>ROUND((N5+N9)/2,0)</f>
        <v>16582.0</v>
      </c>
      <c r="O13">
        <f>ROUND((O5+O9)/2,0)</f>
        <v>17628.0</v>
      </c>
      <c r="P13">
        <f>ROUND((P5+P9)/2,0)</f>
        <v>18741.0</v>
      </c>
      <c r="Q13">
        <f>ROUND((Q5+Q9)/2,0)</f>
        <v>19923.0</v>
      </c>
      <c r="R13">
        <f>ROUND((R5+R9)/2,0)</f>
        <v>21180.0</v>
      </c>
      <c r="S13">
        <f>ROUND((S5+S9)/2,0)</f>
        <v>22517.0</v>
      </c>
      <c r="T13">
        <f>ROUND((T5+T9)/2,0)</f>
        <v>23938.0</v>
      </c>
      <c r="U13">
        <f>ROUND((U5+U9)/2,0)</f>
        <v>25448.0</v>
      </c>
      <c r="V13">
        <f>ROUND((V5+V9)/2,0)</f>
        <v>27054.0</v>
      </c>
      <c r="W13">
        <f>ROUND((W5+W9)/2,0)</f>
        <v>28761.0</v>
      </c>
      <c r="X13">
        <f>ROUND((X5+X9)/2,0)</f>
        <v>30575.0</v>
      </c>
      <c r="Y13">
        <f>ROUND((Y5+Y9)/2,0)</f>
        <v>32505.0</v>
      </c>
      <c r="Z13">
        <f>ROUND((Z5+Z9)/2,0)</f>
        <v>34556.0</v>
      </c>
    </row>
    <row r="15">
      <c r="A15" t="inlineStr">
        <is>
          <t>Revenue</t>
        </is>
      </c>
      <c r="C15" t="n">
        <v>802505</v>
      </c>
      <c r="D15" t="n">
        <v>860180</v>
      </c>
      <c r="E15" t="n">
        <v>921967</v>
      </c>
      <c r="F15">
        <f>ROUND(F13*F11,0)</f>
        <v>988144.0</v>
      </c>
      <c r="G15">
        <f>ROUND(G13*G11,0)</f>
        <v>1059204.0</v>
      </c>
      <c r="H15">
        <f>ROUND(H13*H11,0)</f>
        <v>1135244.0</v>
      </c>
      <c r="I15">
        <f>ROUND(I13*I11,0)</f>
        <v>1216781.0</v>
      </c>
      <c r="J15">
        <f>ROUND(J13*J11,0)</f>
        <v>1304142.0</v>
      </c>
      <c r="K15">
        <f>ROUND(K13*K11,0)</f>
        <v>1397729.0</v>
      </c>
      <c r="L15">
        <f>ROUND(L13*L11,0)</f>
        <v>1498113.0</v>
      </c>
      <c r="M15">
        <f>ROUND(M13*M11,0)</f>
        <v>1605658.0</v>
      </c>
      <c r="N15">
        <f>ROUND(N13*N11,0)</f>
        <v>1720880.0</v>
      </c>
      <c r="O15">
        <f>ROUND(O13*O11,0)</f>
        <v>1844418.0</v>
      </c>
      <c r="P15">
        <f>ROUND(P13*P11,0)</f>
        <v>1976988.0</v>
      </c>
      <c r="Q15">
        <f>ROUND(Q13*Q11,0)</f>
        <v>2119010.0</v>
      </c>
      <c r="R15">
        <f>ROUND(R13*R11,0)</f>
        <v>2271131.0</v>
      </c>
      <c r="S15">
        <f>ROUND(S13*S11,0)</f>
        <v>2434313.0</v>
      </c>
      <c r="T15">
        <f>ROUND(T13*T11,0)</f>
        <v>2609242.0</v>
      </c>
      <c r="U15">
        <f>ROUND(U13*U11,0)</f>
        <v>2796481.0</v>
      </c>
      <c r="V15">
        <f>ROUND(V13*V11,0)</f>
        <v>2997313.0</v>
      </c>
      <c r="W15">
        <f>ROUND(W13*W11,0)</f>
        <v>3212604.0</v>
      </c>
      <c r="X15">
        <f>ROUND(X13*X11,0)</f>
        <v>3443357.0</v>
      </c>
      <c r="Y15">
        <f>ROUND(Y13*Y11,0)</f>
        <v>3690618.0</v>
      </c>
      <c r="Z15">
        <f>ROUND(Z13*Z11,0)</f>
        <v>3955625.0</v>
      </c>
    </row>
    <row r="17">
      <c r="A17" t="inlineStr">
        <is>
          <t>Cumulative revenue</t>
        </is>
      </c>
      <c r="C17">
        <f>C15</f>
        <v>802505.0</v>
      </c>
      <c r="D17">
        <f>C17+D15</f>
        <v>1662685.0</v>
      </c>
      <c r="E17">
        <f>D17+E15</f>
        <v>2584652.0</v>
      </c>
      <c r="F17">
        <f>E17+F15</f>
        <v>3572796.0</v>
      </c>
      <c r="G17">
        <f>F17+G15</f>
        <v>4632000.0</v>
      </c>
      <c r="H17">
        <f>G17+H15</f>
        <v>5767244.0</v>
      </c>
      <c r="I17">
        <f>H17+I15</f>
        <v>6984025.0</v>
      </c>
      <c r="J17">
        <f>I17+J15</f>
        <v>8288167.0</v>
      </c>
      <c r="K17">
        <f>J17+K15</f>
        <v>9685896.0</v>
      </c>
      <c r="L17">
        <f>K17+L15</f>
        <v>11184009.0</v>
      </c>
      <c r="M17">
        <f>L17+M15</f>
        <v>12789667.0</v>
      </c>
      <c r="N17">
        <f>M17+N15</f>
        <v>14510547.0</v>
      </c>
      <c r="O17">
        <f>N17+O15</f>
        <v>16354965.0</v>
      </c>
      <c r="P17">
        <f>O17+P15</f>
        <v>18331953.0</v>
      </c>
      <c r="Q17">
        <f>P17+Q15</f>
        <v>20450963.0</v>
      </c>
      <c r="R17">
        <f>Q17+R15</f>
        <v>22722094.0</v>
      </c>
      <c r="S17">
        <f>R17+S15</f>
        <v>25156407.0</v>
      </c>
      <c r="T17">
        <f>S17+T15</f>
        <v>27765649.0</v>
      </c>
      <c r="U17">
        <f>T17+U15</f>
        <v>30562130.0</v>
      </c>
      <c r="V17">
        <f>U17+V15</f>
        <v>33559443.0</v>
      </c>
      <c r="W17">
        <f>V17+W15</f>
        <v>36772047.0</v>
      </c>
      <c r="X17">
        <f>W17+X15</f>
        <v>40215404.0</v>
      </c>
      <c r="Y17">
        <f>X17+Y15</f>
        <v>43906022.0</v>
      </c>
      <c r="Z17">
        <f>Y17+Z15</f>
        <v>47861647.0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build</t>
        </is>
      </c>
    </row>
    <row r="3">
      <c r="A3" t="inlineStr">
        <is>
          <t>Month</t>
        </is>
      </c>
      <c r="C3">
        <f>Revenue!C3</f>
        <v>1.0</v>
      </c>
      <c r="D3">
        <f>Revenue!D3</f>
        <v>2.0</v>
      </c>
      <c r="E3">
        <f>Revenue!E3</f>
        <v>3.0</v>
      </c>
      <c r="F3">
        <f>Revenue!F3</f>
        <v>4.0</v>
      </c>
      <c r="G3">
        <f>Revenue!G3</f>
        <v>5.0</v>
      </c>
      <c r="H3">
        <f>Revenue!H3</f>
        <v>6.0</v>
      </c>
      <c r="I3">
        <f>Revenue!I3</f>
        <v>7.0</v>
      </c>
      <c r="J3">
        <f>Revenue!J3</f>
        <v>8.0</v>
      </c>
      <c r="K3">
        <f>Revenue!K3</f>
        <v>9.0</v>
      </c>
      <c r="L3">
        <f>Revenue!L3</f>
        <v>10.0</v>
      </c>
      <c r="M3">
        <f>Revenue!M3</f>
        <v>11.0</v>
      </c>
      <c r="N3">
        <f>Revenue!N3</f>
        <v>12.0</v>
      </c>
      <c r="O3">
        <f>Revenue!O3</f>
        <v>13.0</v>
      </c>
      <c r="P3">
        <f>Revenue!P3</f>
        <v>14.0</v>
      </c>
      <c r="Q3">
        <f>Revenue!Q3</f>
        <v>15.0</v>
      </c>
      <c r="R3">
        <f>Revenue!R3</f>
        <v>16.0</v>
      </c>
      <c r="S3">
        <f>Revenue!S3</f>
        <v>17.0</v>
      </c>
      <c r="T3">
        <f>Revenue!T3</f>
        <v>18.0</v>
      </c>
      <c r="U3">
        <f>Revenue!U3</f>
        <v>19.0</v>
      </c>
      <c r="V3">
        <f>Revenue!V3</f>
        <v>20.0</v>
      </c>
      <c r="W3">
        <f>Revenue!W3</f>
        <v>21.0</v>
      </c>
      <c r="X3">
        <f>Revenue!X3</f>
        <v>22.0</v>
      </c>
      <c r="Y3">
        <f>Revenue!Y3</f>
        <v>23.0</v>
      </c>
      <c r="Z3">
        <f>Revenue!Z3</f>
        <v>24.0</v>
      </c>
    </row>
    <row r="5">
      <c r="A5" t="inlineStr">
        <is>
          <t>Headcount</t>
        </is>
      </c>
      <c r="C5">
        <f>Assumptions!$B$12</f>
        <v>23.0</v>
      </c>
      <c r="D5">
        <f>C5+Assumptions!$B$13</f>
        <v>24.0</v>
      </c>
      <c r="E5">
        <f>D5+Assumptions!$B$13</f>
        <v>25.0</v>
      </c>
      <c r="F5">
        <f>E5+Assumptions!$B$13</f>
        <v>26.0</v>
      </c>
      <c r="G5">
        <f>F5+Assumptions!$B$13</f>
        <v>27.0</v>
      </c>
      <c r="H5">
        <f>G5+Assumptions!$B$13</f>
        <v>28.0</v>
      </c>
      <c r="I5">
        <f>H5+Assumptions!$B$13</f>
        <v>29.0</v>
      </c>
      <c r="J5">
        <f>I5+Assumptions!$B$13</f>
        <v>30.0</v>
      </c>
      <c r="K5">
        <f>J5+Assumptions!$B$13</f>
        <v>31.0</v>
      </c>
      <c r="L5">
        <f>K5+Assumptions!$B$13</f>
        <v>32.0</v>
      </c>
      <c r="M5">
        <f>L5+Assumptions!$B$13</f>
        <v>33.0</v>
      </c>
      <c r="N5">
        <f>M5+Assumptions!$B$13</f>
        <v>34.0</v>
      </c>
      <c r="O5">
        <f>N5+Assumptions!$B$13</f>
        <v>35.0</v>
      </c>
      <c r="P5">
        <f>O5+Assumptions!$B$13</f>
        <v>36.0</v>
      </c>
      <c r="Q5">
        <f>P5+Assumptions!$B$13</f>
        <v>37.0</v>
      </c>
      <c r="R5">
        <f>Q5+Assumptions!$B$13</f>
        <v>38.0</v>
      </c>
      <c r="S5">
        <f>R5+Assumptions!$B$13</f>
        <v>39.0</v>
      </c>
      <c r="T5">
        <f>S5+Assumptions!$B$13</f>
        <v>40.0</v>
      </c>
      <c r="U5">
        <f>T5+Assumptions!$B$13</f>
        <v>41.0</v>
      </c>
      <c r="V5">
        <f>U5+Assumptions!$B$13</f>
        <v>42.0</v>
      </c>
      <c r="W5">
        <f>V5+Assumptions!$B$13</f>
        <v>43.0</v>
      </c>
      <c r="X5">
        <f>W5+Assumptions!$B$13</f>
        <v>44.0</v>
      </c>
      <c r="Y5">
        <f>X5+Assumptions!$B$13</f>
        <v>45.0</v>
      </c>
      <c r="Z5">
        <f>Y5+Assumptions!$B$13</f>
        <v>46.0</v>
      </c>
    </row>
    <row r="6">
      <c r="A6" t="inlineStr">
        <is>
          <t>Salary cost</t>
        </is>
      </c>
      <c r="C6">
        <f>ROUND(C5*Assumptions!$B$14/12,0)</f>
        <v>122667.0</v>
      </c>
      <c r="D6">
        <f>ROUND(D5*Assumptions!$B$14/12,0)</f>
        <v>128000.0</v>
      </c>
      <c r="E6">
        <f>ROUND(E5*Assumptions!$B$14/12,0)</f>
        <v>133333.0</v>
      </c>
      <c r="F6">
        <f>ROUND(F5*Assumptions!$B$14/12,0)</f>
        <v>138667.0</v>
      </c>
      <c r="G6">
        <f>ROUND(G5*Assumptions!$B$14/12,0)</f>
        <v>144000.0</v>
      </c>
      <c r="H6">
        <f>ROUND(H5*Assumptions!$B$14/12,0)</f>
        <v>149333.0</v>
      </c>
      <c r="I6">
        <f>ROUND(I5*Assumptions!$B$14/12,0)</f>
        <v>154667.0</v>
      </c>
      <c r="J6">
        <f>ROUND(J5*Assumptions!$B$14/12,0)</f>
        <v>160000.0</v>
      </c>
      <c r="K6">
        <f>ROUND(K5*Assumptions!$B$14/12,0)</f>
        <v>165333.0</v>
      </c>
      <c r="L6">
        <f>ROUND(L5*Assumptions!$B$14/12,0)</f>
        <v>170667.0</v>
      </c>
      <c r="M6">
        <f>ROUND(M5*Assumptions!$B$14/12,0)</f>
        <v>176000.0</v>
      </c>
      <c r="N6">
        <f>ROUND(N5*Assumptions!$B$14/12,0)</f>
        <v>181333.0</v>
      </c>
      <c r="O6">
        <f>ROUND(O5*Assumptions!$B$14/12,0)</f>
        <v>186667.0</v>
      </c>
      <c r="P6">
        <f>ROUND(P5*Assumptions!$B$14/12,0)</f>
        <v>192000.0</v>
      </c>
      <c r="Q6">
        <f>ROUND(Q5*Assumptions!$B$14/12,0)</f>
        <v>197333.0</v>
      </c>
      <c r="R6">
        <f>ROUND(R5*Assumptions!$B$14/12,0)</f>
        <v>202667.0</v>
      </c>
      <c r="S6">
        <f>ROUND(S5*Assumptions!$B$14/12,0)</f>
        <v>208000.0</v>
      </c>
      <c r="T6">
        <f>ROUND(T5*Assumptions!$B$14/12,0)</f>
        <v>213333.0</v>
      </c>
      <c r="U6">
        <f>ROUND(U5*Assumptions!$B$14/12,0)</f>
        <v>218667.0</v>
      </c>
      <c r="V6">
        <f>ROUND(V5*Assumptions!$B$14/12,0)</f>
        <v>224000.0</v>
      </c>
      <c r="W6">
        <f>ROUND(W5*Assumptions!$B$14/12,0)</f>
        <v>229333.0</v>
      </c>
      <c r="X6">
        <f>ROUND(X5*Assumptions!$B$14/12,0)</f>
        <v>234667.0</v>
      </c>
      <c r="Y6">
        <f>ROUND(Y5*Assumptions!$B$14/12,0)</f>
        <v>240000.0</v>
      </c>
      <c r="Z6">
        <f>ROUND(Z5*Assumptions!$B$14/12,0)</f>
        <v>245333.0</v>
      </c>
    </row>
    <row r="7">
      <c r="A7" t="inlineStr">
        <is>
          <t>Payroll tax</t>
        </is>
      </c>
      <c r="C7">
        <f>ROUND(C6*Assumptions!$B$15,0)</f>
        <v>14401.0</v>
      </c>
      <c r="D7">
        <f>ROUND(D6*Assumptions!$B$15,0)</f>
        <v>15027.0</v>
      </c>
      <c r="E7">
        <f>ROUND(E6*Assumptions!$B$15,0)</f>
        <v>15653.0</v>
      </c>
      <c r="F7">
        <f>ROUND(F6*Assumptions!$B$15,0)</f>
        <v>16280.0</v>
      </c>
      <c r="G7">
        <f>ROUND(G6*Assumptions!$B$15,0)</f>
        <v>16906.0</v>
      </c>
      <c r="H7">
        <f>ROUND(H6*Assumptions!$B$15,0)</f>
        <v>17532.0</v>
      </c>
      <c r="I7">
        <f>ROUND(I6*Assumptions!$B$15,0)</f>
        <v>18158.0</v>
      </c>
      <c r="J7">
        <f>ROUND(J6*Assumptions!$B$15,0)</f>
        <v>18784.0</v>
      </c>
      <c r="K7">
        <f>ROUND(K6*Assumptions!$B$15,0)</f>
        <v>19410.0</v>
      </c>
      <c r="L7">
        <f>ROUND(L6*Assumptions!$B$15,0)</f>
        <v>20036.0</v>
      </c>
      <c r="M7">
        <f>ROUND(M6*Assumptions!$B$15,0)</f>
        <v>20662.0</v>
      </c>
      <c r="N7">
        <f>ROUND(N6*Assumptions!$B$15,0)</f>
        <v>21288.0</v>
      </c>
      <c r="O7">
        <f>ROUND(O6*Assumptions!$B$15,0)</f>
        <v>21915.0</v>
      </c>
      <c r="P7">
        <f>ROUND(P6*Assumptions!$B$15,0)</f>
        <v>22541.0</v>
      </c>
      <c r="Q7">
        <f>ROUND(Q6*Assumptions!$B$15,0)</f>
        <v>23167.0</v>
      </c>
      <c r="R7">
        <f>ROUND(R6*Assumptions!$B$15,0)</f>
        <v>23793.0</v>
      </c>
      <c r="S7">
        <f>ROUND(S6*Assumptions!$B$15,0)</f>
        <v>24419.0</v>
      </c>
      <c r="T7">
        <f>ROUND(T6*Assumptions!$B$15,0)</f>
        <v>25045.0</v>
      </c>
      <c r="U7">
        <f>ROUND(U6*Assumptions!$B$15,0)</f>
        <v>25672.0</v>
      </c>
      <c r="V7">
        <f>ROUND(V6*Assumptions!$B$15,0)</f>
        <v>26298.0</v>
      </c>
      <c r="W7">
        <f>ROUND(W6*Assumptions!$B$15,0)</f>
        <v>26924.0</v>
      </c>
      <c r="X7">
        <f>ROUND(X6*Assumptions!$B$15,0)</f>
        <v>27550.0</v>
      </c>
      <c r="Y7">
        <f>ROUND(Y6*Assumptions!$B$15,0)</f>
        <v>28176.0</v>
      </c>
      <c r="Z7">
        <f>ROUND(Z6*Assumptions!$B$15,0)</f>
        <v>28802.0</v>
      </c>
    </row>
    <row r="8">
      <c r="A8" t="inlineStr">
        <is>
          <t>Total staff cost</t>
        </is>
      </c>
      <c r="C8">
        <f>C6+C7</f>
        <v>137068.0</v>
      </c>
      <c r="D8">
        <f>D6+D7</f>
        <v>143027.0</v>
      </c>
      <c r="E8">
        <f>E6+E7</f>
        <v>148986.0</v>
      </c>
      <c r="F8">
        <f>F6+F7</f>
        <v>154947.0</v>
      </c>
      <c r="G8">
        <f>G6+G7</f>
        <v>160906.0</v>
      </c>
      <c r="H8">
        <f>H6+H7</f>
        <v>166865.0</v>
      </c>
      <c r="I8">
        <f>I6+I7</f>
        <v>172825.0</v>
      </c>
      <c r="J8">
        <f>J6+J7</f>
        <v>178784.0</v>
      </c>
      <c r="K8">
        <f>K6+K7</f>
        <v>184743.0</v>
      </c>
      <c r="L8">
        <f>L6+L7</f>
        <v>190703.0</v>
      </c>
      <c r="M8">
        <f>M6+M7</f>
        <v>196662.0</v>
      </c>
      <c r="N8">
        <f>N6+N7</f>
        <v>202621.0</v>
      </c>
      <c r="O8">
        <f>O6+O7</f>
        <v>208582.0</v>
      </c>
      <c r="P8">
        <f>P6+P7</f>
        <v>214541.0</v>
      </c>
      <c r="Q8">
        <f>Q6+Q7</f>
        <v>220500.0</v>
      </c>
      <c r="R8">
        <f>R6+R7</f>
        <v>226460.0</v>
      </c>
      <c r="S8">
        <f>S6+S7</f>
        <v>232419.0</v>
      </c>
      <c r="T8">
        <f>T6+T7</f>
        <v>238378.0</v>
      </c>
      <c r="U8">
        <f>U6+U7</f>
        <v>244339.0</v>
      </c>
      <c r="V8">
        <f>V6+V7</f>
        <v>250298.0</v>
      </c>
      <c r="W8">
        <f>W6+W7</f>
        <v>256257.0</v>
      </c>
      <c r="X8">
        <f>X6+X7</f>
        <v>262217.0</v>
      </c>
      <c r="Y8">
        <f>Y6+Y7</f>
        <v>268176.0</v>
      </c>
      <c r="Z8">
        <f>Z6+Z7</f>
        <v>274135.0</v>
      </c>
    </row>
    <row r="10">
      <c r="A10" t="inlineStr">
        <is>
          <t>Cost of sales</t>
        </is>
      </c>
      <c r="C10">
        <f>ROUND(Revenue!C15*Assumptions!$B$11,0)</f>
        <v>199342.0</v>
      </c>
      <c r="D10">
        <f>ROUND(Revenue!D15*Assumptions!$B$11,0)</f>
        <v>213669.0</v>
      </c>
      <c r="E10">
        <f>ROUND(Revenue!E15*Assumptions!$B$11,0)</f>
        <v>229017.0</v>
      </c>
      <c r="F10">
        <f>ROUND(Revenue!F15*Assumptions!$B$11,0)</f>
        <v>245455.0</v>
      </c>
      <c r="G10">
        <f>ROUND(Revenue!G15*Assumptions!$B$11,0)</f>
        <v>263106.0</v>
      </c>
      <c r="H10">
        <f>ROUND(Revenue!H15*Assumptions!$B$11,0)</f>
        <v>281995.0</v>
      </c>
      <c r="I10">
        <f>ROUND(Revenue!I15*Assumptions!$B$11,0)</f>
        <v>302248.0</v>
      </c>
      <c r="J10">
        <f>ROUND(Revenue!J15*Assumptions!$B$11,0)</f>
        <v>323949.0</v>
      </c>
      <c r="K10">
        <f>ROUND(Revenue!K15*Assumptions!$B$11,0)</f>
        <v>347196.0</v>
      </c>
      <c r="L10">
        <f>ROUND(Revenue!L15*Assumptions!$B$11,0)</f>
        <v>372131.0</v>
      </c>
      <c r="M10">
        <f>ROUND(Revenue!M15*Assumptions!$B$11,0)</f>
        <v>398845.0</v>
      </c>
      <c r="N10">
        <f>ROUND(Revenue!N15*Assumptions!$B$11,0)</f>
        <v>427467.0</v>
      </c>
      <c r="O10">
        <f>ROUND(Revenue!O15*Assumptions!$B$11,0)</f>
        <v>458153.0</v>
      </c>
      <c r="P10">
        <f>ROUND(Revenue!P15*Assumptions!$B$11,0)</f>
        <v>491084.0</v>
      </c>
      <c r="Q10">
        <f>ROUND(Revenue!Q15*Assumptions!$B$11,0)</f>
        <v>526362.0</v>
      </c>
      <c r="R10">
        <f>ROUND(Revenue!R15*Assumptions!$B$11,0)</f>
        <v>564149.0</v>
      </c>
      <c r="S10">
        <f>ROUND(Revenue!S15*Assumptions!$B$11,0)</f>
        <v>604683.0</v>
      </c>
      <c r="T10">
        <f>ROUND(Revenue!T15*Assumptions!$B$11,0)</f>
        <v>648136.0</v>
      </c>
      <c r="U10">
        <f>ROUND(Revenue!U15*Assumptions!$B$11,0)</f>
        <v>694646.0</v>
      </c>
      <c r="V10">
        <f>ROUND(Revenue!V15*Assumptions!$B$11,0)</f>
        <v>744533.0</v>
      </c>
      <c r="W10">
        <f>ROUND(Revenue!W15*Assumptions!$B$11,0)</f>
        <v>798011.0</v>
      </c>
      <c r="X10">
        <f>ROUND(Revenue!X15*Assumptions!$B$11,0)</f>
        <v>855330.0</v>
      </c>
      <c r="Y10">
        <f>ROUND(Revenue!Y15*Assumptions!$B$11,0)</f>
        <v>916750.0</v>
      </c>
      <c r="Z10">
        <f>ROUND(Revenue!Z15*Assumptions!$B$11,0)</f>
        <v>982577.0</v>
      </c>
    </row>
    <row r="11">
      <c r="A11" t="inlineStr">
        <is>
          <t>Marketing</t>
        </is>
      </c>
      <c r="C11">
        <f>ROUND(Revenue!C15*Assumptions!$B$16,0)</f>
        <v>73911.0</v>
      </c>
      <c r="D11">
        <f>ROUND(Revenue!D15*Assumptions!$B$16,0)</f>
        <v>79223.0</v>
      </c>
      <c r="E11">
        <f>ROUND(Revenue!E15*Assumptions!$B$16,0)</f>
        <v>84913.0</v>
      </c>
      <c r="F11">
        <f>ROUND(Revenue!F15*Assumptions!$B$16,0)</f>
        <v>91008.0</v>
      </c>
      <c r="G11">
        <f>ROUND(Revenue!G15*Assumptions!$B$16,0)</f>
        <v>97553.0</v>
      </c>
      <c r="H11">
        <f>ROUND(Revenue!H15*Assumptions!$B$16,0)</f>
        <v>104556.0</v>
      </c>
      <c r="I11">
        <f>ROUND(Revenue!I15*Assumptions!$B$16,0)</f>
        <v>112066.0</v>
      </c>
      <c r="J11">
        <f>ROUND(Revenue!J15*Assumptions!$B$16,0)</f>
        <v>120111.0</v>
      </c>
      <c r="K11">
        <f>ROUND(Revenue!K15*Assumptions!$B$16,0)</f>
        <v>128731.0</v>
      </c>
      <c r="L11">
        <f>ROUND(Revenue!L15*Assumptions!$B$16,0)</f>
        <v>137976.0</v>
      </c>
      <c r="M11">
        <f>ROUND(Revenue!M15*Assumptions!$B$16,0)</f>
        <v>147881.0</v>
      </c>
      <c r="N11">
        <f>ROUND(Revenue!N15*Assumptions!$B$16,0)</f>
        <v>158493.0</v>
      </c>
      <c r="O11">
        <f>ROUND(Revenue!O15*Assumptions!$B$16,0)</f>
        <v>169871.0</v>
      </c>
      <c r="P11">
        <f>ROUND(Revenue!P15*Assumptions!$B$16,0)</f>
        <v>182081.0</v>
      </c>
      <c r="Q11">
        <f>ROUND(Revenue!Q15*Assumptions!$B$16,0)</f>
        <v>195161.0</v>
      </c>
      <c r="R11">
        <f>ROUND(Revenue!R15*Assumptions!$B$16,0)</f>
        <v>209171.0</v>
      </c>
      <c r="S11">
        <f>ROUND(Revenue!S15*Assumptions!$B$16,0)</f>
        <v>224200.0</v>
      </c>
      <c r="T11">
        <f>ROUND(Revenue!T15*Assumptions!$B$16,0)</f>
        <v>240311.0</v>
      </c>
      <c r="U11">
        <f>ROUND(Revenue!U15*Assumptions!$B$16,0)</f>
        <v>257556.0</v>
      </c>
      <c r="V11">
        <f>ROUND(Revenue!V15*Assumptions!$B$16,0)</f>
        <v>276053.0</v>
      </c>
      <c r="W11">
        <f>ROUND(Revenue!W15*Assumptions!$B$16,0)</f>
        <v>295881.0</v>
      </c>
      <c r="X11">
        <f>ROUND(Revenue!X15*Assumptions!$B$16,0)</f>
        <v>317133.0</v>
      </c>
      <c r="Y11">
        <f>ROUND(Revenue!Y15*Assumptions!$B$16,0)</f>
        <v>339906.0</v>
      </c>
      <c r="Z11">
        <f>ROUND(Revenue!Z15*Assumptions!$B$16,0)</f>
        <v>364313.0</v>
      </c>
    </row>
    <row r="12">
      <c r="A12" t="inlineStr">
        <is>
          <t>Overhead</t>
        </is>
      </c>
      <c r="C12">
        <f>ROUND(Assumptions!$B$17,0)</f>
        <v>26000.0</v>
      </c>
      <c r="D12">
        <f>ROUND(C12*(1+Assumptions!$B$18),0)</f>
        <v>26140.0</v>
      </c>
      <c r="E12">
        <f>ROUND(D12*(1+Assumptions!$B$18),0)</f>
        <v>26281.0</v>
      </c>
      <c r="F12">
        <f>ROUND(E12*(1+Assumptions!$B$18),0)</f>
        <v>26423.0</v>
      </c>
      <c r="G12">
        <f>ROUND(F12*(1+Assumptions!$B$18),0)</f>
        <v>26566.0</v>
      </c>
      <c r="H12">
        <f>ROUND(G12*(1+Assumptions!$B$18),0)</f>
        <v>26709.0</v>
      </c>
      <c r="I12" t="n">
        <v>37594</v>
      </c>
      <c r="J12">
        <f>ROUND(I12*(1+Assumptions!$B$18),0)</f>
        <v>37797.0</v>
      </c>
      <c r="K12">
        <f>ROUND(J12*(1+Assumptions!$B$18),0)</f>
        <v>38001.0</v>
      </c>
      <c r="L12">
        <f>ROUND(K12*(1+Assumptions!$B$18),0)</f>
        <v>38206.0</v>
      </c>
      <c r="M12">
        <f>ROUND(L12*(1+Assumptions!$B$18),0)</f>
        <v>38412.0</v>
      </c>
      <c r="N12">
        <f>ROUND(M12*(1+Assumptions!$B$18),0)</f>
        <v>38619.0</v>
      </c>
      <c r="O12">
        <f>ROUND(N12*(1+Assumptions!$B$18),0)</f>
        <v>38828.0</v>
      </c>
      <c r="P12">
        <f>ROUND(O12*(1+Assumptions!$B$18),0)</f>
        <v>39038.0</v>
      </c>
      <c r="Q12">
        <f>ROUND(P12*(1+Assumptions!$B$18),0)</f>
        <v>39249.0</v>
      </c>
      <c r="R12">
        <f>ROUND(Q12*(1+Assumptions!$B$18),0)</f>
        <v>39461.0</v>
      </c>
      <c r="S12">
        <f>ROUND(R12*(1+Assumptions!$B$18),0)</f>
        <v>39674.0</v>
      </c>
      <c r="T12">
        <f>ROUND(S12*(1+Assumptions!$B$18),0)</f>
        <v>39888.0</v>
      </c>
      <c r="U12">
        <f>ROUND(T12*(1+Assumptions!$B$18),0)</f>
        <v>40103.0</v>
      </c>
      <c r="V12">
        <f>ROUND(U12*(1+Assumptions!$B$18),0)</f>
        <v>40320.0</v>
      </c>
      <c r="W12">
        <f>ROUND(V12*(1+Assumptions!$B$18),0)</f>
        <v>40538.0</v>
      </c>
      <c r="X12">
        <f>ROUND(W12*(1+Assumptions!$B$18),0)</f>
        <v>40757.0</v>
      </c>
      <c r="Y12">
        <f>ROUND(X12*(1+Assumptions!$B$18),0)</f>
        <v>40977.0</v>
      </c>
      <c r="Z12">
        <f>ROUND(Y12*(1+Assumptions!$B$18),0)</f>
        <v>41198.0</v>
      </c>
    </row>
    <row r="14">
      <c r="A14" t="inlineStr">
        <is>
          <t>Total costs</t>
        </is>
      </c>
      <c r="C14">
        <f>C8+C10+C11+C12</f>
        <v>436321.0</v>
      </c>
      <c r="D14">
        <f>D8+D10+D11+D12</f>
        <v>462059.0</v>
      </c>
      <c r="E14">
        <f>E8+E10+E11+E12</f>
        <v>489197.0</v>
      </c>
      <c r="F14">
        <f>F8+F10+F11+F12</f>
        <v>517833.0</v>
      </c>
      <c r="G14">
        <f>G8+G10+G11+G12</f>
        <v>548131.0</v>
      </c>
      <c r="H14">
        <f>H8+H10+H11+H12</f>
        <v>580125.0</v>
      </c>
      <c r="I14">
        <f>I8+I10+I11+I12</f>
        <v>624733.0</v>
      </c>
      <c r="J14">
        <f>J8+J10+J11+J12</f>
        <v>660641.0</v>
      </c>
      <c r="K14">
        <f>K8+K10+K11+K12</f>
        <v>698671.0</v>
      </c>
      <c r="L14">
        <f>L8+L10+L11+L12</f>
        <v>739016.0</v>
      </c>
      <c r="M14">
        <f>M8+M10+M11+M12</f>
        <v>781800.0</v>
      </c>
      <c r="N14">
        <f>N8+N10+N11+N12</f>
        <v>827200.0</v>
      </c>
      <c r="O14">
        <f>O8+O10+O11+O12</f>
        <v>875434.0</v>
      </c>
      <c r="P14">
        <f>P8+P10+P11+P12</f>
        <v>926744.0</v>
      </c>
      <c r="Q14">
        <f>Q8+Q10+Q11+Q12</f>
        <v>981272.0</v>
      </c>
      <c r="R14">
        <f>R8+R10+R11+R12</f>
        <v>1039241.0</v>
      </c>
      <c r="S14">
        <f>S8+S10+S11+S12</f>
        <v>1100976.0</v>
      </c>
      <c r="T14">
        <f>T8+T10+T11+T12</f>
        <v>1166713.0</v>
      </c>
      <c r="U14">
        <f>U8+U10+U11+U12</f>
        <v>1236644.0</v>
      </c>
      <c r="V14">
        <f>V8+V10+V11+V12</f>
        <v>1311204.0</v>
      </c>
      <c r="W14">
        <f>W8+W10+W11+W12</f>
        <v>1390687.0</v>
      </c>
      <c r="X14">
        <f>X8+X10+X11+X12</f>
        <v>1475437.0</v>
      </c>
      <c r="Y14">
        <f>Y8+Y10+Y11+Y12</f>
        <v>1565809.0</v>
      </c>
      <c r="Z14">
        <f>Z8+Z10+Z11+Z12</f>
        <v>1662223.0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Profit and loss</t>
        </is>
      </c>
    </row>
    <row r="3">
      <c r="A3" t="inlineStr">
        <is>
          <t>Month</t>
        </is>
      </c>
      <c r="C3">
        <f>Revenue!C3</f>
        <v>1.0</v>
      </c>
      <c r="D3">
        <f>Revenue!D3</f>
        <v>2.0</v>
      </c>
      <c r="E3">
        <f>Revenue!E3</f>
        <v>3.0</v>
      </c>
      <c r="F3">
        <f>Revenue!F3</f>
        <v>4.0</v>
      </c>
      <c r="G3">
        <f>Revenue!G3</f>
        <v>5.0</v>
      </c>
      <c r="H3">
        <f>Revenue!H3</f>
        <v>6.0</v>
      </c>
      <c r="I3">
        <f>Revenue!I3</f>
        <v>7.0</v>
      </c>
      <c r="J3">
        <f>Revenue!J3</f>
        <v>8.0</v>
      </c>
      <c r="K3">
        <f>Revenue!K3</f>
        <v>9.0</v>
      </c>
      <c r="L3">
        <f>Revenue!L3</f>
        <v>10.0</v>
      </c>
      <c r="M3">
        <f>Revenue!M3</f>
        <v>11.0</v>
      </c>
      <c r="N3">
        <f>Revenue!N3</f>
        <v>12.0</v>
      </c>
      <c r="O3">
        <f>Revenue!O3</f>
        <v>13.0</v>
      </c>
      <c r="P3">
        <f>Revenue!P3</f>
        <v>14.0</v>
      </c>
      <c r="Q3">
        <f>Revenue!Q3</f>
        <v>15.0</v>
      </c>
      <c r="R3">
        <f>Revenue!R3</f>
        <v>16.0</v>
      </c>
      <c r="S3">
        <f>Revenue!S3</f>
        <v>17.0</v>
      </c>
      <c r="T3">
        <f>Revenue!T3</f>
        <v>18.0</v>
      </c>
      <c r="U3">
        <f>Revenue!U3</f>
        <v>19.0</v>
      </c>
      <c r="V3">
        <f>Revenue!V3</f>
        <v>20.0</v>
      </c>
      <c r="W3">
        <f>Revenue!W3</f>
        <v>21.0</v>
      </c>
      <c r="X3">
        <f>Revenue!X3</f>
        <v>22.0</v>
      </c>
      <c r="Y3">
        <f>Revenue!Y3</f>
        <v>23.0</v>
      </c>
      <c r="Z3">
        <f>Revenue!Z3</f>
        <v>24.0</v>
      </c>
      <c r="AA3" t="inlineStr">
        <is>
          <t>Total</t>
        </is>
      </c>
    </row>
    <row r="5">
      <c r="A5" t="inlineStr">
        <is>
          <t>Revenue</t>
        </is>
      </c>
      <c r="C5">
        <f>Revenue!C15</f>
        <v>802505.0</v>
      </c>
      <c r="D5">
        <f>Revenue!D15</f>
        <v>860180.0</v>
      </c>
      <c r="E5">
        <f>Revenue!E15</f>
        <v>921967.0</v>
      </c>
      <c r="F5">
        <f>Revenue!F15</f>
        <v>988144.0</v>
      </c>
      <c r="G5">
        <f>Revenue!G15</f>
        <v>1059204.0</v>
      </c>
      <c r="H5">
        <f>Revenue!H15</f>
        <v>1135244.0</v>
      </c>
      <c r="I5">
        <f>Revenue!I15</f>
        <v>1216781.0</v>
      </c>
      <c r="J5">
        <f>Revenue!J15</f>
        <v>1304142.0</v>
      </c>
      <c r="K5">
        <f>Revenue!K15</f>
        <v>1397729.0</v>
      </c>
      <c r="L5">
        <f>Revenue!L15</f>
        <v>1498113.0</v>
      </c>
      <c r="M5">
        <f>Revenue!M15</f>
        <v>1605658.0</v>
      </c>
      <c r="N5">
        <f>Revenue!N15</f>
        <v>1720880.0</v>
      </c>
      <c r="O5">
        <f>Revenue!O15</f>
        <v>1844418.0</v>
      </c>
      <c r="P5">
        <f>Revenue!P15</f>
        <v>1976988.0</v>
      </c>
      <c r="Q5">
        <f>Revenue!Q15</f>
        <v>2119010.0</v>
      </c>
      <c r="R5">
        <f>Revenue!R15</f>
        <v>2271131.0</v>
      </c>
      <c r="S5">
        <f>Revenue!S15</f>
        <v>2434313.0</v>
      </c>
      <c r="T5">
        <f>Revenue!T15</f>
        <v>2609242.0</v>
      </c>
      <c r="U5">
        <f>Revenue!U15</f>
        <v>2796481.0</v>
      </c>
      <c r="V5">
        <f>Revenue!V15</f>
        <v>2997313.0</v>
      </c>
      <c r="W5">
        <f>Revenue!W15</f>
        <v>3212604.0</v>
      </c>
      <c r="X5">
        <f>Revenue!X15</f>
        <v>3443357.0</v>
      </c>
      <c r="Y5">
        <f>Revenue!Y15</f>
        <v>3690618.0</v>
      </c>
      <c r="Z5">
        <f>Revenue!Z15</f>
        <v>3955625.0</v>
      </c>
      <c r="AA5">
        <f>SUM(C5:Z5)</f>
        <v>47861647.0</v>
      </c>
    </row>
    <row r="6">
      <c r="A6" t="inlineStr">
        <is>
          <t>Cost of sales</t>
        </is>
      </c>
      <c r="C6">
        <f>-Costs!C10</f>
        <v>-199342.0</v>
      </c>
      <c r="D6">
        <f>-Costs!D10</f>
        <v>-213669.0</v>
      </c>
      <c r="E6">
        <f>-Costs!E10</f>
        <v>-229017.0</v>
      </c>
      <c r="F6">
        <f>-Costs!F10</f>
        <v>-245455.0</v>
      </c>
      <c r="G6">
        <f>-Costs!G10</f>
        <v>-263106.0</v>
      </c>
      <c r="H6">
        <f>-Costs!H10</f>
        <v>-281995.0</v>
      </c>
      <c r="I6">
        <f>-Costs!I10</f>
        <v>-302248.0</v>
      </c>
      <c r="J6">
        <f>-Costs!J10</f>
        <v>-323949.0</v>
      </c>
      <c r="K6">
        <f>-Costs!K10</f>
        <v>-347196.0</v>
      </c>
      <c r="L6">
        <f>-Costs!L10</f>
        <v>-372131.0</v>
      </c>
      <c r="M6">
        <f>-Costs!M10</f>
        <v>-398845.0</v>
      </c>
      <c r="N6">
        <f>-Costs!N10</f>
        <v>-427467.0</v>
      </c>
      <c r="O6">
        <f>-Costs!O10</f>
        <v>-458153.0</v>
      </c>
      <c r="P6">
        <f>-Costs!P10</f>
        <v>-491084.0</v>
      </c>
      <c r="Q6">
        <f>-Costs!Q10</f>
        <v>-526362.0</v>
      </c>
      <c r="R6">
        <f>-Costs!R10</f>
        <v>-564149.0</v>
      </c>
      <c r="S6">
        <f>-Costs!S10</f>
        <v>-604683.0</v>
      </c>
      <c r="T6">
        <f>-Costs!T10</f>
        <v>-648136.0</v>
      </c>
      <c r="U6">
        <f>-Costs!U10</f>
        <v>-694646.0</v>
      </c>
      <c r="V6">
        <f>-Costs!V10</f>
        <v>-744533.0</v>
      </c>
      <c r="W6">
        <f>-Costs!W10</f>
        <v>-798011.0</v>
      </c>
      <c r="X6">
        <f>-Costs!X10</f>
        <v>-855330.0</v>
      </c>
      <c r="Y6">
        <f>-Costs!Y10</f>
        <v>-916750.0</v>
      </c>
      <c r="Z6">
        <f>-Costs!Z10</f>
        <v>-982577.0</v>
      </c>
      <c r="AA6">
        <f>SUM(C6:Z6)</f>
        <v>-11888834.0</v>
      </c>
    </row>
    <row r="7">
      <c r="A7" t="inlineStr">
        <is>
          <t>Gross profit</t>
        </is>
      </c>
      <c r="C7">
        <f>C5+C6</f>
        <v>603163.0</v>
      </c>
      <c r="D7">
        <f>D5+D6</f>
        <v>646511.0</v>
      </c>
      <c r="E7">
        <f>E5+E6</f>
        <v>692950.0</v>
      </c>
      <c r="F7">
        <f>F5+F6</f>
        <v>742689.0</v>
      </c>
      <c r="G7">
        <f>G5+G6</f>
        <v>796098.0</v>
      </c>
      <c r="H7">
        <f>H5+H6</f>
        <v>853249.0</v>
      </c>
      <c r="I7">
        <f>I5+I6</f>
        <v>914533.0</v>
      </c>
      <c r="J7">
        <f>J5+J6</f>
        <v>980193.0</v>
      </c>
      <c r="K7">
        <f>K5+K6</f>
        <v>1050533.0</v>
      </c>
      <c r="L7">
        <f>L5+L6</f>
        <v>1125982.0</v>
      </c>
      <c r="M7">
        <f>M5+M6</f>
        <v>1206813.0</v>
      </c>
      <c r="N7">
        <f>N5+N6</f>
        <v>1293413.0</v>
      </c>
      <c r="O7">
        <f>O5+O6</f>
        <v>1386265.0</v>
      </c>
      <c r="P7">
        <f>P5+P6</f>
        <v>1485904.0</v>
      </c>
      <c r="Q7">
        <f>Q5+Q6</f>
        <v>1592648.0</v>
      </c>
      <c r="R7">
        <f>R5+R6</f>
        <v>1706982.0</v>
      </c>
      <c r="S7">
        <f>S5+S6</f>
        <v>1829630.0</v>
      </c>
      <c r="T7">
        <f>T5+T6</f>
        <v>1961106.0</v>
      </c>
      <c r="U7">
        <f>U5+U6</f>
        <v>2101835.0</v>
      </c>
      <c r="V7">
        <f>V5+V6</f>
        <v>2252780.0</v>
      </c>
      <c r="W7">
        <f>W5+W6</f>
        <v>2414593.0</v>
      </c>
      <c r="X7">
        <f>X5+X6</f>
        <v>2588027.0</v>
      </c>
      <c r="Y7">
        <f>Y5+Y6</f>
        <v>2773868.0</v>
      </c>
      <c r="Z7">
        <f>Z5+Z6</f>
        <v>2973048.0</v>
      </c>
      <c r="AA7">
        <f>SUM(C7:Z7)</f>
        <v>35972813.0</v>
      </c>
    </row>
    <row r="8">
      <c r="A8" t="inlineStr">
        <is>
          <t>Gross margin</t>
        </is>
      </c>
      <c r="C8">
        <f>IF(C5=0,0,ROUND(C7/C5,4))</f>
        <v>0.7516</v>
      </c>
      <c r="D8">
        <f>IF(D5=0,0,ROUND(D7/D5,4))</f>
        <v>0.7516</v>
      </c>
      <c r="E8">
        <f>IF(E5=0,0,ROUND(E7/E5,4))</f>
        <v>0.7516</v>
      </c>
      <c r="F8">
        <f>IF(F5=0,0,ROUND(F7/F5,4))</f>
        <v>0.7516</v>
      </c>
      <c r="G8">
        <f>IF(G5=0,0,ROUND(G7/G5,4))</f>
        <v>0.7516</v>
      </c>
      <c r="H8">
        <f>IF(H5=0,0,ROUND(H7/H5,4))</f>
        <v>0.7516</v>
      </c>
      <c r="I8">
        <f>IF(I5=0,0,ROUND(I7/I5,4))</f>
        <v>0.7516</v>
      </c>
      <c r="J8">
        <f>IF(J5=0,0,ROUND(J7/J5,4))</f>
        <v>0.7516</v>
      </c>
      <c r="K8">
        <f>IF(K5=0,0,ROUND(K7/K5,4))</f>
        <v>0.7516</v>
      </c>
      <c r="L8">
        <f>IF(L5=0,0,ROUND(L7/L5,4))</f>
        <v>0.7516</v>
      </c>
      <c r="M8">
        <f>IF(M5=0,0,ROUND(M7/M5,4))</f>
        <v>0.7516</v>
      </c>
      <c r="N8">
        <f>IF(N5=0,0,ROUND(N7/N5,4))</f>
        <v>0.7516</v>
      </c>
      <c r="O8">
        <f>IF(O5=0,0,ROUND(O7/O5,4))</f>
        <v>0.7516</v>
      </c>
      <c r="P8">
        <f>IF(P5=0,0,ROUND(P7/P5,4))</f>
        <v>0.7516</v>
      </c>
      <c r="Q8">
        <f>IF(Q5=0,0,ROUND(Q7/Q5,4))</f>
        <v>0.7516</v>
      </c>
      <c r="R8">
        <f>IF(R5=0,0,ROUND(R7/R5,4))</f>
        <v>0.7516</v>
      </c>
      <c r="S8">
        <f>IF(S5=0,0,ROUND(S7/S5,4))</f>
        <v>0.7516</v>
      </c>
      <c r="T8">
        <f>IF(T5=0,0,ROUND(T7/T5,4))</f>
        <v>0.7516</v>
      </c>
      <c r="U8">
        <f>IF(U5=0,0,ROUND(U7/U5,4))</f>
        <v>0.7516</v>
      </c>
      <c r="V8">
        <f>IF(V5=0,0,ROUND(V7/V5,4))</f>
        <v>0.7516</v>
      </c>
      <c r="W8">
        <f>IF(W5=0,0,ROUND(W7/W5,4))</f>
        <v>0.7516</v>
      </c>
      <c r="X8">
        <f>IF(X5=0,0,ROUND(X7/X5,4))</f>
        <v>0.7516</v>
      </c>
      <c r="Y8">
        <f>IF(Y5=0,0,ROUND(Y7/Y5,4))</f>
        <v>0.7516</v>
      </c>
      <c r="Z8">
        <f>IF(Z5=0,0,ROUND(Z7/Z5,4))</f>
        <v>0.7516</v>
      </c>
    </row>
    <row r="10">
      <c r="A10" t="inlineStr">
        <is>
          <t>Staff costs</t>
        </is>
      </c>
      <c r="C10">
        <f>-Costs!C8</f>
        <v>-137068.0</v>
      </c>
      <c r="D10">
        <f>-Costs!D8</f>
        <v>-143027.0</v>
      </c>
      <c r="E10">
        <f>-Costs!E8</f>
        <v>-148986.0</v>
      </c>
      <c r="F10">
        <f>-Costs!F8</f>
        <v>-154947.0</v>
      </c>
      <c r="G10">
        <f>-Costs!G8</f>
        <v>-160906.0</v>
      </c>
      <c r="H10">
        <f>-Costs!H8</f>
        <v>-166865.0</v>
      </c>
      <c r="I10">
        <f>-Costs!I8</f>
        <v>-172825.0</v>
      </c>
      <c r="J10">
        <f>-Costs!J8</f>
        <v>-178784.0</v>
      </c>
      <c r="K10">
        <f>-Costs!K8</f>
        <v>-184743.0</v>
      </c>
      <c r="L10">
        <f>-Costs!L8</f>
        <v>-190703.0</v>
      </c>
      <c r="M10">
        <f>-Costs!M8</f>
        <v>-196662.0</v>
      </c>
      <c r="N10">
        <f>-Costs!N8</f>
        <v>-202621.0</v>
      </c>
      <c r="O10">
        <f>-Costs!O8</f>
        <v>-208582.0</v>
      </c>
      <c r="P10">
        <f>-Costs!P8</f>
        <v>-214541.0</v>
      </c>
      <c r="Q10">
        <f>-Costs!Q8</f>
        <v>-220500.0</v>
      </c>
      <c r="R10">
        <f>-Costs!R8</f>
        <v>-226460.0</v>
      </c>
      <c r="S10">
        <f>-Costs!S8</f>
        <v>-232419.0</v>
      </c>
      <c r="T10">
        <f>-Costs!T8</f>
        <v>-238378.0</v>
      </c>
      <c r="U10">
        <f>-Costs!U8</f>
        <v>-244339.0</v>
      </c>
      <c r="V10">
        <f>-Costs!V8</f>
        <v>-250298.0</v>
      </c>
      <c r="W10">
        <f>-Costs!W8</f>
        <v>-256257.0</v>
      </c>
      <c r="X10">
        <f>-Costs!X8</f>
        <v>-262217.0</v>
      </c>
      <c r="Y10">
        <f>-Costs!Y8</f>
        <v>-268176.0</v>
      </c>
      <c r="Z10">
        <f>-Costs!Z8</f>
        <v>-274135.0</v>
      </c>
      <c r="AA10">
        <f>SUM(C10:Z10)</f>
        <v>-4934439.0</v>
      </c>
    </row>
    <row r="11">
      <c r="A11" t="inlineStr">
        <is>
          <t>Marketing</t>
        </is>
      </c>
      <c r="C11">
        <f>-Costs!C11</f>
        <v>-73911.0</v>
      </c>
      <c r="D11">
        <f>-Costs!D11</f>
        <v>-79223.0</v>
      </c>
      <c r="E11">
        <f>-Costs!E11</f>
        <v>-84913.0</v>
      </c>
      <c r="F11">
        <f>-Costs!F11</f>
        <v>-91008.0</v>
      </c>
      <c r="G11">
        <f>-Costs!G11</f>
        <v>-97553.0</v>
      </c>
      <c r="H11">
        <f>-Costs!H11</f>
        <v>-104556.0</v>
      </c>
      <c r="I11">
        <f>-Costs!I11</f>
        <v>-112066.0</v>
      </c>
      <c r="J11">
        <f>-Costs!J11</f>
        <v>-120111.0</v>
      </c>
      <c r="K11">
        <f>-Costs!K11</f>
        <v>-128731.0</v>
      </c>
      <c r="L11">
        <f>-Costs!L11</f>
        <v>-137976.0</v>
      </c>
      <c r="M11">
        <f>-Costs!M11</f>
        <v>-147881.0</v>
      </c>
      <c r="N11">
        <f>-Costs!N11</f>
        <v>-158493.0</v>
      </c>
      <c r="O11">
        <f>-Costs!O11</f>
        <v>-169871.0</v>
      </c>
      <c r="P11">
        <f>-Costs!P11</f>
        <v>-182081.0</v>
      </c>
      <c r="Q11">
        <f>-Costs!Q11</f>
        <v>-195161.0</v>
      </c>
      <c r="R11">
        <f>-Costs!R11</f>
        <v>-209171.0</v>
      </c>
      <c r="S11">
        <f>-Costs!S11</f>
        <v>-224200.0</v>
      </c>
      <c r="T11">
        <f>-Costs!T11</f>
        <v>-240311.0</v>
      </c>
      <c r="U11">
        <f>-Costs!U11</f>
        <v>-257556.0</v>
      </c>
      <c r="V11">
        <f>-Costs!V11</f>
        <v>-276053.0</v>
      </c>
      <c r="W11">
        <f>-Costs!W11</f>
        <v>-295881.0</v>
      </c>
      <c r="X11">
        <f>-Costs!X11</f>
        <v>-317133.0</v>
      </c>
      <c r="Y11">
        <f>-Costs!Y11</f>
        <v>-339906.0</v>
      </c>
      <c r="Z11">
        <f>-Costs!Z11</f>
        <v>-364313.0</v>
      </c>
      <c r="AA11">
        <f>SUM(C11:Z11)</f>
        <v>-4408059.0</v>
      </c>
    </row>
    <row r="12">
      <c r="A12" t="inlineStr">
        <is>
          <t>Overhead</t>
        </is>
      </c>
      <c r="C12">
        <f>-Costs!C12</f>
        <v>-26000.0</v>
      </c>
      <c r="D12">
        <f>-Costs!D12</f>
        <v>-26140.0</v>
      </c>
      <c r="E12">
        <f>-Costs!E12</f>
        <v>-26281.0</v>
      </c>
      <c r="F12">
        <f>-Costs!F12</f>
        <v>-26423.0</v>
      </c>
      <c r="G12">
        <f>-Costs!G12</f>
        <v>-26566.0</v>
      </c>
      <c r="H12">
        <f>-Costs!H12</f>
        <v>-26709.0</v>
      </c>
      <c r="I12">
        <f>-Costs!I12</f>
        <v>-37594.0</v>
      </c>
      <c r="J12">
        <f>-Costs!J12</f>
        <v>-37797.0</v>
      </c>
      <c r="K12">
        <f>-Costs!K12</f>
        <v>-38001.0</v>
      </c>
      <c r="L12">
        <f>-Costs!L12</f>
        <v>-38206.0</v>
      </c>
      <c r="M12">
        <f>-Costs!M12</f>
        <v>-38412.0</v>
      </c>
      <c r="N12">
        <f>-Costs!N12</f>
        <v>-38619.0</v>
      </c>
      <c r="O12">
        <f>-Costs!O12</f>
        <v>-38828.0</v>
      </c>
      <c r="P12">
        <f>-Costs!P12</f>
        <v>-39038.0</v>
      </c>
      <c r="Q12">
        <f>-Costs!Q12</f>
        <v>-39249.0</v>
      </c>
      <c r="R12">
        <f>-Costs!R12</f>
        <v>-39461.0</v>
      </c>
      <c r="S12">
        <f>-Costs!S12</f>
        <v>-39674.0</v>
      </c>
      <c r="T12">
        <f>-Costs!T12</f>
        <v>-39888.0</v>
      </c>
      <c r="U12">
        <f>-Costs!U12</f>
        <v>-40103.0</v>
      </c>
      <c r="V12">
        <f>-Costs!V12</f>
        <v>-40320.0</v>
      </c>
      <c r="W12">
        <f>-Costs!W12</f>
        <v>-40538.0</v>
      </c>
      <c r="X12">
        <f>-Costs!X12</f>
        <v>-40757.0</v>
      </c>
      <c r="Y12">
        <f>-Costs!Y12</f>
        <v>-40977.0</v>
      </c>
      <c r="Z12">
        <f>-Costs!Z12</f>
        <v>-41198.0</v>
      </c>
      <c r="AA12">
        <f>SUM(C12:Z12)</f>
        <v>-866779.0</v>
      </c>
    </row>
    <row r="13">
      <c r="A13" t="inlineStr">
        <is>
          <t>Total operating costs</t>
        </is>
      </c>
      <c r="C13">
        <f>C10+C11+C12</f>
        <v>-236979.0</v>
      </c>
      <c r="D13">
        <f>D10+D11+D12</f>
        <v>-248390.0</v>
      </c>
      <c r="E13">
        <f>E10+E11+E12</f>
        <v>-260180.0</v>
      </c>
      <c r="F13">
        <f>F10+F11+F12</f>
        <v>-272378.0</v>
      </c>
      <c r="G13">
        <f>G10+G11+G12</f>
        <v>-285025.0</v>
      </c>
      <c r="H13">
        <f>H10+H11+H12</f>
        <v>-298130.0</v>
      </c>
      <c r="I13">
        <f>I10+I11+I12</f>
        <v>-322485.0</v>
      </c>
      <c r="J13">
        <f>J10+J11+J12</f>
        <v>-336692.0</v>
      </c>
      <c r="K13">
        <f>K10+K11+K12</f>
        <v>-351475.0</v>
      </c>
      <c r="L13">
        <f>L10+L11+L12</f>
        <v>-366885.0</v>
      </c>
      <c r="M13">
        <f>M10+M11+M12</f>
        <v>-382955.0</v>
      </c>
      <c r="N13">
        <f>N10+N11+N12</f>
        <v>-399733.0</v>
      </c>
      <c r="O13">
        <f>O10+O11+O12</f>
        <v>-417281.0</v>
      </c>
      <c r="P13">
        <f>P10+P11+P12</f>
        <v>-435660.0</v>
      </c>
      <c r="Q13">
        <f>Q10+Q11+Q12</f>
        <v>-454910.0</v>
      </c>
      <c r="R13">
        <f>R10+R11+R12</f>
        <v>-475092.0</v>
      </c>
      <c r="S13">
        <f>S10+S11+S12</f>
        <v>-496293.0</v>
      </c>
      <c r="T13">
        <f>T10+T11+T12</f>
        <v>-518577.0</v>
      </c>
      <c r="U13">
        <f>U10+U11+U12</f>
        <v>-541998.0</v>
      </c>
      <c r="V13">
        <f>V10+V11+V12</f>
        <v>-566671.0</v>
      </c>
      <c r="W13">
        <f>W10+W11+W12</f>
        <v>-592676.0</v>
      </c>
      <c r="X13">
        <f>X10+X11+X12</f>
        <v>-620107.0</v>
      </c>
      <c r="Y13">
        <f>Y10+Y11+Y12</f>
        <v>-649059.0</v>
      </c>
      <c r="Z13">
        <f>Z10+Z11+Z12</f>
        <v>-679646.0</v>
      </c>
      <c r="AA13">
        <f>SUM(C13:Z13)</f>
        <v>-10209277.0</v>
      </c>
    </row>
    <row r="15">
      <c r="A15" t="inlineStr">
        <is>
          <t>EBITDA</t>
        </is>
      </c>
      <c r="C15">
        <f>C7+C13</f>
        <v>366184.0</v>
      </c>
      <c r="D15">
        <f>D7+D13</f>
        <v>398121.0</v>
      </c>
      <c r="E15">
        <f>E7+E13</f>
        <v>432770.0</v>
      </c>
      <c r="F15">
        <f>F7+F13</f>
        <v>470311.0</v>
      </c>
      <c r="G15">
        <f>G7+G13</f>
        <v>511073.0</v>
      </c>
      <c r="H15">
        <f>H7+H13</f>
        <v>555119.0</v>
      </c>
      <c r="I15">
        <f>I7+I13</f>
        <v>592048.0</v>
      </c>
      <c r="J15">
        <f>J7+J13</f>
        <v>643501.0</v>
      </c>
      <c r="K15">
        <f>K7+K13</f>
        <v>699058.0</v>
      </c>
      <c r="L15">
        <f>L7+L13</f>
        <v>759097.0</v>
      </c>
      <c r="M15">
        <f>M7+M13</f>
        <v>823858.0</v>
      </c>
      <c r="N15">
        <f>N7+N13</f>
        <v>893680.0</v>
      </c>
      <c r="O15">
        <f>O7+O13</f>
        <v>968984.0</v>
      </c>
      <c r="P15">
        <f>P7+P13</f>
        <v>1050244.0</v>
      </c>
      <c r="Q15">
        <f>Q7+Q13</f>
        <v>1137738.0</v>
      </c>
      <c r="R15">
        <f>R7+R13</f>
        <v>1231890.0</v>
      </c>
      <c r="S15">
        <f>S7+S13</f>
        <v>1333337.0</v>
      </c>
      <c r="T15">
        <f>T7+T13</f>
        <v>1442529.0</v>
      </c>
      <c r="U15">
        <f>U7+U13</f>
        <v>1559837.0</v>
      </c>
      <c r="V15">
        <f>V7+V13</f>
        <v>1686109.0</v>
      </c>
      <c r="W15">
        <f>W7+W13</f>
        <v>1821917.0</v>
      </c>
      <c r="X15">
        <f>X7+X13</f>
        <v>1967920.0</v>
      </c>
      <c r="Y15">
        <f>Y7+Y13</f>
        <v>2124809.0</v>
      </c>
      <c r="Z15">
        <f>Z7+Z13</f>
        <v>2293402.0</v>
      </c>
      <c r="AA15">
        <f>SUM(C15:Z15)</f>
        <v>25763536.0</v>
      </c>
    </row>
    <row r="16">
      <c r="A16" t="inlineStr">
        <is>
          <t>EBITDA margin</t>
        </is>
      </c>
      <c r="C16">
        <f>IF(C5=0,0,ROUND(C15/C5,4))</f>
        <v>0.4563</v>
      </c>
      <c r="D16">
        <f>IF(D5=0,0,ROUND(D15/D5,4))</f>
        <v>0.4628</v>
      </c>
      <c r="E16">
        <f>IF(E5=0,0,ROUND(E15/E5,4))</f>
        <v>0.4694</v>
      </c>
      <c r="F16">
        <f>IF(F5=0,0,ROUND(F15/F5,4))</f>
        <v>0.476</v>
      </c>
      <c r="G16">
        <f>IF(G5=0,0,ROUND(G15/G5,4))</f>
        <v>0.4825</v>
      </c>
      <c r="H16">
        <f>IF(H5=0,0,ROUND(H15/H5,4))</f>
        <v>0.489</v>
      </c>
      <c r="I16">
        <f>IF(I5=0,0,ROUND(I15/I5,4))</f>
        <v>0.4866</v>
      </c>
      <c r="J16">
        <f>IF(J5=0,0,ROUND(J15/J5,4))</f>
        <v>0.4934</v>
      </c>
      <c r="K16">
        <f>IF(K5=0,0,ROUND(K15/K5,4))</f>
        <v>0.5001</v>
      </c>
      <c r="L16">
        <f>IF(L5=0,0,ROUND(L15/L5,4))</f>
        <v>0.5067</v>
      </c>
      <c r="M16">
        <f>IF(M5=0,0,ROUND(M15/M5,4))</f>
        <v>0.5131</v>
      </c>
      <c r="N16">
        <f>IF(N5=0,0,ROUND(N15/N5,4))</f>
        <v>0.5193</v>
      </c>
      <c r="O16">
        <f>IF(O5=0,0,ROUND(O15/O5,4))</f>
        <v>0.5254</v>
      </c>
      <c r="P16">
        <f>IF(P5=0,0,ROUND(P15/P5,4))</f>
        <v>0.5312</v>
      </c>
      <c r="Q16">
        <f>IF(Q5=0,0,ROUND(Q15/Q5,4))</f>
        <v>0.5369</v>
      </c>
      <c r="R16">
        <f>IF(R5=0,0,ROUND(R15/R5,4))</f>
        <v>0.5424</v>
      </c>
      <c r="S16">
        <f>IF(S5=0,0,ROUND(S15/S5,4))</f>
        <v>0.5477</v>
      </c>
      <c r="T16">
        <f>IF(T5=0,0,ROUND(T15/T5,4))</f>
        <v>0.5529</v>
      </c>
      <c r="U16">
        <f>IF(U5=0,0,ROUND(U15/U5,4))</f>
        <v>0.5578</v>
      </c>
      <c r="V16">
        <f>IF(V5=0,0,ROUND(V15/V5,4))</f>
        <v>0.5625</v>
      </c>
      <c r="W16">
        <f>IF(W5=0,0,ROUND(W15/W5,4))</f>
        <v>0.5671</v>
      </c>
      <c r="X16">
        <f>IF(X5=0,0,ROUND(X15/X5,4))</f>
        <v>0.5715</v>
      </c>
      <c r="Y16">
        <f>IF(Y5=0,0,ROUND(Y15/Y5,4))</f>
        <v>0.5757</v>
      </c>
      <c r="Z16">
        <f>IF(Z5=0,0,ROUND(Z15/Z5,4))</f>
        <v>0.5798</v>
      </c>
    </row>
    <row r="18">
      <c r="A18" t="inlineStr">
        <is>
          <t>Cumulative EBITDA</t>
        </is>
      </c>
      <c r="C18">
        <f>C15</f>
        <v>366184.0</v>
      </c>
      <c r="D18">
        <f>C18+D15</f>
        <v>764305.0</v>
      </c>
      <c r="E18">
        <f>D18+E15</f>
        <v>1197075.0</v>
      </c>
      <c r="F18">
        <f>E18+F15</f>
        <v>1667386.0</v>
      </c>
      <c r="G18">
        <f>F18+G15</f>
        <v>2178459.0</v>
      </c>
      <c r="H18">
        <f>G18+H15</f>
        <v>2733578.0</v>
      </c>
      <c r="I18">
        <f>H18+I15</f>
        <v>3325626.0</v>
      </c>
      <c r="J18">
        <f>I18+J15</f>
        <v>3969127.0</v>
      </c>
      <c r="K18">
        <f>J18+K15</f>
        <v>4668185.0</v>
      </c>
      <c r="L18">
        <f>K18+L15</f>
        <v>5427282.0</v>
      </c>
      <c r="M18">
        <f>L18+M15</f>
        <v>6251140.0</v>
      </c>
      <c r="N18">
        <f>M18+N15</f>
        <v>7144820.0</v>
      </c>
      <c r="O18">
        <f>N18+O15</f>
        <v>8113804.0</v>
      </c>
      <c r="P18">
        <f>O18+P15</f>
        <v>9164048.0</v>
      </c>
      <c r="Q18">
        <f>P18+Q15</f>
        <v>10301786.0</v>
      </c>
      <c r="R18">
        <f>Q18+R15</f>
        <v>11533676.0</v>
      </c>
      <c r="S18">
        <f>R18+S15</f>
        <v>12867013.0</v>
      </c>
      <c r="T18">
        <f>S18+T15</f>
        <v>14309542.0</v>
      </c>
      <c r="U18">
        <f>T18+U15</f>
        <v>15869379.0</v>
      </c>
      <c r="V18">
        <f>U18+V15</f>
        <v>17555488.0</v>
      </c>
      <c r="W18">
        <f>V18+W15</f>
        <v>19377405.0</v>
      </c>
      <c r="X18">
        <f>W18+X15</f>
        <v>21345325.0</v>
      </c>
      <c r="Y18">
        <f>X18+Y15</f>
        <v>23470134.0</v>
      </c>
      <c r="Z18">
        <f>Y18+Z15</f>
        <v>25763536.0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</t>
        </is>
      </c>
    </row>
    <row r="3">
      <c r="A3" t="inlineStr">
        <is>
          <t>Total revenue</t>
        </is>
      </c>
      <c r="B3">
        <f>Revenue!Z17</f>
        <v>47861647.0</v>
      </c>
    </row>
    <row r="4">
      <c r="A4" t="inlineStr">
        <is>
          <t>Total EBITDA</t>
        </is>
      </c>
      <c r="B4">
        <f>'P&amp;L'!AA15</f>
        <v>25763536.0</v>
      </c>
    </row>
    <row r="5">
      <c r="A5" t="inlineStr">
        <is>
          <t>Exit run rate EBITDA</t>
        </is>
      </c>
      <c r="B5">
        <f>SUM('P&amp;L'!O15:Z15)</f>
        <v>18618716.0</v>
      </c>
    </row>
    <row r="6">
      <c r="A6" t="inlineStr">
        <is>
          <t>EBITDA multiple</t>
        </is>
      </c>
      <c r="B6">
        <f>Assumptions!$B$21</f>
        <v>6.4</v>
      </c>
    </row>
    <row r="7">
      <c r="A7" t="inlineStr">
        <is>
          <t>Enterprise value</t>
        </is>
      </c>
      <c r="B7">
        <f>ROUND(B5*B6,0)</f>
        <v>119159782.0</v>
      </c>
    </row>
    <row r="8">
      <c r="A8" t="inlineStr">
        <is>
          <t>Net debt</t>
        </is>
      </c>
      <c r="B8">
        <f>Assumptions!$B$22</f>
        <v>4750000.0</v>
      </c>
    </row>
    <row r="9">
      <c r="A9" t="inlineStr">
        <is>
          <t>Equity value</t>
        </is>
      </c>
      <c r="B9">
        <f>B7-B8</f>
        <v>114409782.0</v>
      </c>
    </row>
    <row r="11">
      <c r="A11" t="inlineStr">
        <is>
          <t>Average monthly EBITDA</t>
        </is>
      </c>
      <c r="B11">
        <f>AVERAGE('P&amp;L'!C15:Z15)</f>
        <v>1073480.6666666667</v>
      </c>
    </row>
    <row r="12">
      <c r="A12" t="inlineStr">
        <is>
          <t>Best month</t>
        </is>
      </c>
      <c r="B12">
        <f>MAX('P&amp;L'!C15:Z15)</f>
        <v>2293402.0</v>
      </c>
    </row>
    <row r="13">
      <c r="A13" t="inlineStr">
        <is>
          <t>Worst month</t>
        </is>
      </c>
      <c r="B13">
        <f>MIN('P&amp;L'!C15:Z15)</f>
        <v>366184.0</v>
      </c>
    </row>
    <row r="14">
      <c r="A14" t="inlineStr">
        <is>
          <t>Sum of positive months</t>
        </is>
      </c>
      <c r="B14">
        <f>SUMIF('P&amp;L'!C15:Z15,"&gt;0")</f>
        <v>25763536.0</v>
      </c>
    </row>
    <row r="15">
      <c r="A15" t="inlineStr">
        <is>
          <t>Best to worst swing</t>
        </is>
      </c>
      <c r="B15">
        <f>ABS(B12-B13)</f>
        <v>1927218.0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materia</dc:creator>
  <dcterms:created xsi:type="dcterms:W3CDTF">1980-01-01T00:00:00Z</dcterms:created>
  <dcterms:modified xsi:type="dcterms:W3CDTF">1980-01-01T00:00:00Z</dcterms:modified>
  <cp:lastModifiedBy>materia</cp:lastModifiedBy>
</cp:coreProperties>
</file>