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Costs" sheetId="3" state="visible" r:id="rId3"/>
    <sheet name="P&amp;L" sheetId="4" state="visible" r:id="rId4"/>
    <sheet name="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Assumptions</t>
        </is>
      </c>
    </row>
    <row r="3">
      <c r="A3" t="inlineStr">
        <is>
          <t>Revenue drivers</t>
        </is>
      </c>
    </row>
    <row r="4">
      <c r="A4" t="inlineStr">
        <is>
          <t>Opening customers</t>
        </is>
      </c>
      <c r="B4" t="n">
        <v>9800</v>
      </c>
    </row>
    <row r="5">
      <c r="A5" t="inlineStr">
        <is>
          <t>Monthly new customer rate</t>
        </is>
      </c>
      <c r="B5" t="n">
        <v>0.0893</v>
      </c>
    </row>
    <row r="6">
      <c r="A6" t="inlineStr">
        <is>
          <t>Monthly churn rate</t>
        </is>
      </c>
      <c r="B6" t="n">
        <v>0.0231</v>
      </c>
    </row>
    <row r="7">
      <c r="A7" t="inlineStr">
        <is>
          <t>Opening ARPU</t>
        </is>
      </c>
      <c r="B7" t="n">
        <v>84.73</v>
      </c>
    </row>
    <row r="8">
      <c r="A8" t="inlineStr">
        <is>
          <t>Monthly ARPU uplift</t>
        </is>
      </c>
      <c r="B8" t="n">
        <v>0.0097</v>
      </c>
    </row>
    <row r="10">
      <c r="A10" t="inlineStr">
        <is>
          <t>Cost drivers</t>
        </is>
      </c>
    </row>
    <row r="11">
      <c r="A11" t="inlineStr">
        <is>
          <t>COGS as share of revenue</t>
        </is>
      </c>
      <c r="B11" t="n">
        <v>0.1842</v>
      </c>
    </row>
    <row r="12">
      <c r="A12" t="inlineStr">
        <is>
          <t>Opening headcount</t>
        </is>
      </c>
      <c r="B12" t="n">
        <v>32</v>
      </c>
    </row>
    <row r="13">
      <c r="A13" t="inlineStr">
        <is>
          <t>New hires per month</t>
        </is>
      </c>
      <c r="B13" t="n">
        <v>3</v>
      </c>
    </row>
    <row r="14">
      <c r="A14" t="inlineStr">
        <is>
          <t>Average salary</t>
        </is>
      </c>
      <c r="B14" t="n">
        <v>55500</v>
      </c>
    </row>
    <row r="15">
      <c r="A15" t="inlineStr">
        <is>
          <t>Payroll tax rate</t>
        </is>
      </c>
      <c r="B15" t="n">
        <v>0.102</v>
      </c>
    </row>
    <row r="16">
      <c r="A16" t="inlineStr">
        <is>
          <t>Marketing as share of revenue</t>
        </is>
      </c>
      <c r="B16" t="n">
        <v>0.1379</v>
      </c>
    </row>
    <row r="17">
      <c r="A17" t="inlineStr">
        <is>
          <t>Monthly overhead</t>
        </is>
      </c>
      <c r="B17" t="n">
        <v>40000</v>
      </c>
    </row>
    <row r="18">
      <c r="A18" t="inlineStr">
        <is>
          <t>Monthly overhead inflation</t>
        </is>
      </c>
      <c r="B18" t="n">
        <v>0.003</v>
      </c>
    </row>
    <row r="20">
      <c r="A20" t="inlineStr">
        <is>
          <t>Valuation drivers</t>
        </is>
      </c>
    </row>
    <row r="21">
      <c r="A21" t="inlineStr">
        <is>
          <t>EBITDA multiple</t>
        </is>
      </c>
      <c r="B21" t="n">
        <v>9.5</v>
      </c>
    </row>
    <row r="22">
      <c r="A22" t="inlineStr">
        <is>
          <t>Net debt</t>
        </is>
      </c>
      <c r="B22" t="n">
        <v>3550000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build</t>
        </is>
      </c>
    </row>
    <row r="3">
      <c r="A3" t="inlineStr">
        <is>
          <t>Month</t>
        </is>
      </c>
      <c r="C3" t="n">
        <v>1</v>
      </c>
      <c r="D3">
        <f>C3+1</f>
        <v>2.0</v>
      </c>
      <c r="E3">
        <f>D3+1</f>
        <v>3.0</v>
      </c>
      <c r="F3">
        <f>E3+1</f>
        <v>4.0</v>
      </c>
      <c r="G3">
        <f>F3+1</f>
        <v>5.0</v>
      </c>
      <c r="H3">
        <f>G3+1</f>
        <v>6.0</v>
      </c>
      <c r="I3">
        <f>H3+1</f>
        <v>7.0</v>
      </c>
      <c r="J3">
        <f>I3+1</f>
        <v>8.0</v>
      </c>
      <c r="K3">
        <f>J3+1</f>
        <v>9.0</v>
      </c>
      <c r="L3">
        <f>K3+1</f>
        <v>10.0</v>
      </c>
      <c r="M3">
        <f>L3+1</f>
        <v>11.0</v>
      </c>
      <c r="N3">
        <f>M3+1</f>
        <v>12.0</v>
      </c>
      <c r="O3">
        <f>N3+1</f>
        <v>13.0</v>
      </c>
      <c r="P3">
        <f>O3+1</f>
        <v>14.0</v>
      </c>
      <c r="Q3">
        <f>P3+1</f>
        <v>15.0</v>
      </c>
      <c r="R3">
        <f>Q3+1</f>
        <v>16.0</v>
      </c>
      <c r="S3">
        <f>R3+1</f>
        <v>17.0</v>
      </c>
      <c r="T3">
        <f>S3+1</f>
        <v>18.0</v>
      </c>
      <c r="U3">
        <f>T3+1</f>
        <v>19.0</v>
      </c>
      <c r="V3">
        <f>U3+1</f>
        <v>20.0</v>
      </c>
      <c r="W3">
        <f>V3+1</f>
        <v>21.0</v>
      </c>
      <c r="X3">
        <f>W3+1</f>
        <v>22.0</v>
      </c>
      <c r="Y3">
        <f>X3+1</f>
        <v>23.0</v>
      </c>
      <c r="Z3">
        <f>Y3+1</f>
        <v>24.0</v>
      </c>
    </row>
    <row r="5">
      <c r="A5" t="inlineStr">
        <is>
          <t>Opening customers</t>
        </is>
      </c>
      <c r="C5">
        <f>Assumptions!$B$4</f>
        <v>9800.0</v>
      </c>
      <c r="D5">
        <f>C9</f>
        <v>10449.0</v>
      </c>
      <c r="E5">
        <f>D9</f>
        <v>11141.0</v>
      </c>
      <c r="F5">
        <f>E9</f>
        <v>11879.0</v>
      </c>
      <c r="G5">
        <f>F9</f>
        <v>12666.0</v>
      </c>
      <c r="H5">
        <f>G9</f>
        <v>13504.0</v>
      </c>
      <c r="I5">
        <f>H9</f>
        <v>14398.0</v>
      </c>
      <c r="J5">
        <f>I9</f>
        <v>15351.0</v>
      </c>
      <c r="K5" t="n">
        <v>9800</v>
      </c>
      <c r="L5">
        <f>K9</f>
        <v>10449.0</v>
      </c>
      <c r="M5">
        <f>L9</f>
        <v>11141.0</v>
      </c>
      <c r="N5">
        <f>M9</f>
        <v>11879.0</v>
      </c>
      <c r="O5">
        <f>N9</f>
        <v>12666.0</v>
      </c>
      <c r="P5">
        <f>O9</f>
        <v>13504.0</v>
      </c>
      <c r="Q5">
        <f>P9</f>
        <v>14398.0</v>
      </c>
      <c r="R5">
        <f>Q9</f>
        <v>15351.0</v>
      </c>
      <c r="S5">
        <f>R9</f>
        <v>16367.0</v>
      </c>
      <c r="T5">
        <f>S9</f>
        <v>17451.0</v>
      </c>
      <c r="U5">
        <f>T9</f>
        <v>18606.0</v>
      </c>
      <c r="V5">
        <f>U9</f>
        <v>19838.0</v>
      </c>
      <c r="W5">
        <f>V9</f>
        <v>21152.0</v>
      </c>
      <c r="X5">
        <f>W9</f>
        <v>22552.0</v>
      </c>
      <c r="Y5">
        <f>X9</f>
        <v>24045.0</v>
      </c>
      <c r="Z5">
        <f>Y9</f>
        <v>25637.0</v>
      </c>
    </row>
    <row r="6">
      <c r="A6" t="inlineStr">
        <is>
          <t>New customers</t>
        </is>
      </c>
      <c r="C6">
        <f>ROUND(C5*Assumptions!$B$5,0)</f>
        <v>875.0</v>
      </c>
      <c r="D6">
        <f>ROUND(D5*Assumptions!$B$5,0)</f>
        <v>933.0</v>
      </c>
      <c r="E6">
        <f>ROUND(E5*Assumptions!$B$5,0)</f>
        <v>995.0</v>
      </c>
      <c r="F6">
        <f>ROUND(F5*Assumptions!$B$5,0)</f>
        <v>1061.0</v>
      </c>
      <c r="G6">
        <f>ROUND(G5*Assumptions!$B$5,0)</f>
        <v>1131.0</v>
      </c>
      <c r="H6">
        <f>ROUND(H5*Assumptions!$B$5,0)</f>
        <v>1206.0</v>
      </c>
      <c r="I6">
        <f>ROUND(I5*Assumptions!$B$5,0)</f>
        <v>1286.0</v>
      </c>
      <c r="J6">
        <f>ROUND(J5*Assumptions!$B$5,0)</f>
        <v>1371.0</v>
      </c>
      <c r="K6">
        <f>ROUND(K5*Assumptions!$B$5,0)</f>
        <v>875.0</v>
      </c>
      <c r="L6">
        <f>ROUND(L5*Assumptions!$B$5,0)</f>
        <v>933.0</v>
      </c>
      <c r="M6">
        <f>ROUND(M5*Assumptions!$B$5,0)</f>
        <v>995.0</v>
      </c>
      <c r="N6">
        <f>ROUND(N5*Assumptions!$B$5,0)</f>
        <v>1061.0</v>
      </c>
      <c r="O6">
        <f>ROUND(O5*Assumptions!$B$5,0)</f>
        <v>1131.0</v>
      </c>
      <c r="P6">
        <f>ROUND(P5*Assumptions!$B$5,0)</f>
        <v>1206.0</v>
      </c>
      <c r="Q6">
        <f>ROUND(Q5*Assumptions!$B$5,0)</f>
        <v>1286.0</v>
      </c>
      <c r="R6">
        <f>ROUND(R5*Assumptions!$B$5,0)</f>
        <v>1371.0</v>
      </c>
      <c r="S6">
        <f>ROUND(S5*Assumptions!$B$5,0)</f>
        <v>1462.0</v>
      </c>
      <c r="T6">
        <f>ROUND(T5*Assumptions!$B$5,0)</f>
        <v>1558.0</v>
      </c>
      <c r="U6">
        <f>ROUND(U5*Assumptions!$B$5,0)</f>
        <v>1662.0</v>
      </c>
      <c r="V6">
        <f>ROUND(V5*Assumptions!$B$5,0)</f>
        <v>1772.0</v>
      </c>
      <c r="W6">
        <f>ROUND(W5*Assumptions!$B$5,0)</f>
        <v>1889.0</v>
      </c>
      <c r="X6">
        <f>ROUND(X5*Assumptions!$B$5,0)</f>
        <v>2014.0</v>
      </c>
      <c r="Y6">
        <f>ROUND(Y5*Assumptions!$B$5,0)</f>
        <v>2147.0</v>
      </c>
      <c r="Z6">
        <f>ROUND(Z5*Assumptions!$B$5,0)</f>
        <v>2289.0</v>
      </c>
    </row>
    <row r="7">
      <c r="A7" t="inlineStr">
        <is>
          <t>Churned customers</t>
        </is>
      </c>
      <c r="C7">
        <f>-ROUND(C5*Assumptions!$B$6,0)</f>
        <v>-226.0</v>
      </c>
      <c r="D7">
        <f>-ROUND(D5*Assumptions!$B$6,0)</f>
        <v>-241.0</v>
      </c>
      <c r="E7">
        <f>-ROUND(E5*Assumptions!$B$6,0)</f>
        <v>-257.0</v>
      </c>
      <c r="F7">
        <f>-ROUND(F5*Assumptions!$B$6,0)</f>
        <v>-274.0</v>
      </c>
      <c r="G7">
        <f>-ROUND(G5*Assumptions!$B$6,0)</f>
        <v>-293.0</v>
      </c>
      <c r="H7">
        <f>-ROUND(H5*Assumptions!$B$6,0)</f>
        <v>-312.0</v>
      </c>
      <c r="I7">
        <f>-ROUND(I5*Assumptions!$B$6,0)</f>
        <v>-333.0</v>
      </c>
      <c r="J7">
        <f>-ROUND(J5*Assumptions!$B$6,0)</f>
        <v>-355.0</v>
      </c>
      <c r="K7">
        <f>-ROUND(K5*Assumptions!$B$6,0)</f>
        <v>-226.0</v>
      </c>
      <c r="L7">
        <f>-ROUND(L5*Assumptions!$B$6,0)</f>
        <v>-241.0</v>
      </c>
      <c r="M7">
        <f>-ROUND(M5*Assumptions!$B$6,0)</f>
        <v>-257.0</v>
      </c>
      <c r="N7">
        <f>-ROUND(N5*Assumptions!$B$6,0)</f>
        <v>-274.0</v>
      </c>
      <c r="O7">
        <f>-ROUND(O5*Assumptions!$B$6,0)</f>
        <v>-293.0</v>
      </c>
      <c r="P7">
        <f>-ROUND(P5*Assumptions!$B$6,0)</f>
        <v>-312.0</v>
      </c>
      <c r="Q7">
        <f>-ROUND(Q5*Assumptions!$B$6,0)</f>
        <v>-333.0</v>
      </c>
      <c r="R7">
        <f>-ROUND(R5*Assumptions!$B$6,0)</f>
        <v>-355.0</v>
      </c>
      <c r="S7">
        <f>-ROUND(S5*Assumptions!$B$6,0)</f>
        <v>-378.0</v>
      </c>
      <c r="T7">
        <f>-ROUND(T5*Assumptions!$B$6,0)</f>
        <v>-403.0</v>
      </c>
      <c r="U7">
        <f>-ROUND(U5*Assumptions!$B$6,0)</f>
        <v>-430.0</v>
      </c>
      <c r="V7">
        <f>-ROUND(V5*Assumptions!$B$6,0)</f>
        <v>-458.0</v>
      </c>
      <c r="W7">
        <f>-ROUND(W5*Assumptions!$B$6,0)</f>
        <v>-489.0</v>
      </c>
      <c r="X7">
        <f>-ROUND(X5*Assumptions!$B$6,0)</f>
        <v>-521.0</v>
      </c>
      <c r="Y7">
        <f>-ROUND(Y5*Assumptions!$B$6,0)</f>
        <v>-555.0</v>
      </c>
      <c r="Z7">
        <f>-ROUND(Z5*Assumptions!$B$6,0)</f>
        <v>-592.0</v>
      </c>
    </row>
    <row r="9">
      <c r="A9" t="inlineStr">
        <is>
          <t>Closing customers</t>
        </is>
      </c>
      <c r="C9">
        <f>C5+C6+C7</f>
        <v>10449.0</v>
      </c>
      <c r="D9">
        <f>D5+D6+D7</f>
        <v>11141.0</v>
      </c>
      <c r="E9">
        <f>E5+E6+E7</f>
        <v>11879.0</v>
      </c>
      <c r="F9">
        <f>F5+F6+F7</f>
        <v>12666.0</v>
      </c>
      <c r="G9">
        <f>G5+G6+G7</f>
        <v>13504.0</v>
      </c>
      <c r="H9">
        <f>H5+H6+H7</f>
        <v>14398.0</v>
      </c>
      <c r="I9">
        <f>I5+I6+I7</f>
        <v>15351.0</v>
      </c>
      <c r="J9">
        <f>J5+J6+J7</f>
        <v>16367.0</v>
      </c>
      <c r="K9">
        <f>K5+K6+K7</f>
        <v>10449.0</v>
      </c>
      <c r="L9">
        <f>L5+L6+L7</f>
        <v>11141.0</v>
      </c>
      <c r="M9">
        <f>M5+M6+M7</f>
        <v>11879.0</v>
      </c>
      <c r="N9">
        <f>N5+N6+N7</f>
        <v>12666.0</v>
      </c>
      <c r="O9">
        <f>O5+O6+O7</f>
        <v>13504.0</v>
      </c>
      <c r="P9">
        <f>P5+P6+P7</f>
        <v>14398.0</v>
      </c>
      <c r="Q9">
        <f>Q5+Q6+Q7</f>
        <v>15351.0</v>
      </c>
      <c r="R9">
        <f>R5+R6+R7</f>
        <v>16367.0</v>
      </c>
      <c r="S9">
        <f>S5+S6+S7</f>
        <v>17451.0</v>
      </c>
      <c r="T9">
        <f>T5+T6+T7</f>
        <v>18606.0</v>
      </c>
      <c r="U9">
        <f>U5+U6+U7</f>
        <v>19838.0</v>
      </c>
      <c r="V9">
        <f>V5+V6+V7</f>
        <v>21152.0</v>
      </c>
      <c r="W9">
        <f>W5+W6+W7</f>
        <v>22552.0</v>
      </c>
      <c r="X9">
        <f>X5+X6+X7</f>
        <v>24045.0</v>
      </c>
      <c r="Y9">
        <f>Y5+Y6+Y7</f>
        <v>25637.0</v>
      </c>
      <c r="Z9">
        <f>Z5+Z6+Z7</f>
        <v>27334.0</v>
      </c>
    </row>
    <row r="11">
      <c r="A11" t="inlineStr">
        <is>
          <t>ARPU</t>
        </is>
      </c>
      <c r="C11">
        <f>Assumptions!$B$7</f>
        <v>84.73</v>
      </c>
      <c r="D11">
        <f>ROUND(C11*(1+Assumptions!$B$8),2)</f>
        <v>85.55</v>
      </c>
      <c r="E11">
        <f>ROUND(D11*(1+Assumptions!$B$8),2)</f>
        <v>86.38</v>
      </c>
      <c r="F11">
        <f>ROUND(E11*(1+Assumptions!$B$8),2)</f>
        <v>87.22</v>
      </c>
      <c r="G11">
        <f>ROUND(F11*(1+Assumptions!$B$8),2)</f>
        <v>88.07</v>
      </c>
      <c r="H11">
        <f>ROUND(G11*(1+Assumptions!$B$8),2)</f>
        <v>88.92</v>
      </c>
      <c r="I11">
        <f>ROUND(H11*(1+Assumptions!$B$8),2)</f>
        <v>89.78</v>
      </c>
      <c r="J11">
        <f>ROUND(I11*(1+Assumptions!$B$8),2)</f>
        <v>90.65</v>
      </c>
      <c r="K11">
        <f>ROUND(J11*(1+Assumptions!$B$8),2)</f>
        <v>91.53</v>
      </c>
      <c r="L11">
        <f>ROUND(K11*(1+Assumptions!$B$8),2)</f>
        <v>92.42</v>
      </c>
      <c r="M11">
        <f>ROUND(L11*(1+Assumptions!$B$8),2)</f>
        <v>93.32</v>
      </c>
      <c r="N11">
        <f>ROUND(M11*(1+Assumptions!$B$8),2)</f>
        <v>94.23</v>
      </c>
      <c r="O11">
        <f>ROUND(N11*(1+Assumptions!$B$8),2)</f>
        <v>95.14</v>
      </c>
      <c r="P11">
        <f>ROUND(O11*(1+Assumptions!$B$8),2)</f>
        <v>96.06</v>
      </c>
      <c r="Q11">
        <f>ROUND(P11*(1+Assumptions!$B$8),2)</f>
        <v>96.99</v>
      </c>
      <c r="R11">
        <f>ROUND(Q11*(1+Assumptions!$B$8),2)</f>
        <v>97.93</v>
      </c>
      <c r="S11">
        <f>ROUND(R11*(1+Assumptions!$B$8),2)</f>
        <v>98.88</v>
      </c>
      <c r="T11">
        <f>ROUND(S11*(1+Assumptions!$B$8),2)</f>
        <v>99.84</v>
      </c>
      <c r="U11">
        <f>ROUND(T11*(1+Assumptions!$B$8),2)</f>
        <v>100.81</v>
      </c>
      <c r="V11">
        <f>ROUND(U11*(1+Assumptions!$B$8),2)</f>
        <v>101.79</v>
      </c>
      <c r="W11">
        <f>ROUND(V11*(1+Assumptions!$B$8),2)</f>
        <v>102.78</v>
      </c>
      <c r="X11">
        <f>ROUND(W11*(1+Assumptions!$B$8),2)</f>
        <v>103.78</v>
      </c>
      <c r="Y11">
        <f>ROUND(X11*(1+Assumptions!$B$8),2)</f>
        <v>104.79</v>
      </c>
      <c r="Z11">
        <f>ROUND(Y11*(1+Assumptions!$B$8),2)</f>
        <v>105.81</v>
      </c>
    </row>
    <row r="13">
      <c r="A13" t="inlineStr">
        <is>
          <t>Average customers</t>
        </is>
      </c>
      <c r="C13">
        <f>ROUND((C5+C9)/2,0)</f>
        <v>10125.0</v>
      </c>
      <c r="D13">
        <f>ROUND((D5+D9)/2,0)</f>
        <v>10795.0</v>
      </c>
      <c r="E13">
        <f>ROUND((E5+E9)/2,0)</f>
        <v>11510.0</v>
      </c>
      <c r="F13">
        <f>ROUND((F5+F9)/2,0)</f>
        <v>12273.0</v>
      </c>
      <c r="G13">
        <f>ROUND((G5+G9)/2,0)</f>
        <v>13085.0</v>
      </c>
      <c r="H13">
        <f>ROUND((H5+H9)/2,0)</f>
        <v>13951.0</v>
      </c>
      <c r="I13">
        <f>ROUND((I5+I9)/2,0)</f>
        <v>14875.0</v>
      </c>
      <c r="J13">
        <f>ROUND((J5+J9)/2,0)</f>
        <v>15859.0</v>
      </c>
      <c r="K13">
        <f>ROUND((K5+K9)/2,0)</f>
        <v>10125.0</v>
      </c>
      <c r="L13">
        <f>ROUND((L5+L9)/2,0)</f>
        <v>10795.0</v>
      </c>
      <c r="M13">
        <f>ROUND((M5+M9)/2,0)</f>
        <v>11510.0</v>
      </c>
      <c r="N13">
        <f>ROUND((N5+N9)/2,0)</f>
        <v>12273.0</v>
      </c>
      <c r="O13">
        <f>ROUND((O5+O9)/2,0)</f>
        <v>13085.0</v>
      </c>
      <c r="P13">
        <f>ROUND((P5+P9)/2,0)</f>
        <v>13951.0</v>
      </c>
      <c r="Q13">
        <f>ROUND((Q5+Q9)/2,0)</f>
        <v>14875.0</v>
      </c>
      <c r="R13">
        <f>ROUND((R5+R9)/2,0)</f>
        <v>15859.0</v>
      </c>
      <c r="S13">
        <f>ROUND((S5+S9)/2,0)</f>
        <v>16909.0</v>
      </c>
      <c r="T13">
        <f>ROUND((T5+T9)/2,0)</f>
        <v>18029.0</v>
      </c>
      <c r="U13">
        <f>ROUND((U5+U9)/2,0)</f>
        <v>19222.0</v>
      </c>
      <c r="V13">
        <f>ROUND((V5+V9)/2,0)</f>
        <v>20495.0</v>
      </c>
      <c r="W13">
        <f>ROUND((W5+W9)/2,0)</f>
        <v>21852.0</v>
      </c>
      <c r="X13">
        <f>ROUND((X5+X9)/2,0)</f>
        <v>23299.0</v>
      </c>
      <c r="Y13">
        <f>ROUND((Y5+Y9)/2,0)</f>
        <v>24841.0</v>
      </c>
      <c r="Z13">
        <f>ROUND((Z5+Z9)/2,0)</f>
        <v>26486.0</v>
      </c>
    </row>
    <row r="15">
      <c r="A15" t="inlineStr">
        <is>
          <t>Revenue</t>
        </is>
      </c>
      <c r="C15">
        <f>ROUND(C13*C11,0)</f>
        <v>857891.0</v>
      </c>
      <c r="D15">
        <f>ROUND(D13*D11,0)</f>
        <v>923512.0</v>
      </c>
      <c r="E15">
        <f>ROUND(E13*E11,0)</f>
        <v>994234.0</v>
      </c>
      <c r="F15">
        <f>ROUND(F13*F11,0)</f>
        <v>1070451.0</v>
      </c>
      <c r="G15">
        <f>ROUND(G13*G11,0)</f>
        <v>1152396.0</v>
      </c>
      <c r="H15">
        <f>ROUND(H13*H11,0)</f>
        <v>1240523.0</v>
      </c>
      <c r="I15">
        <f>ROUND(I13*I11,0)</f>
        <v>1335478.0</v>
      </c>
      <c r="J15">
        <f>ROUND(J13*J11,0)</f>
        <v>1437618.0</v>
      </c>
      <c r="K15">
        <f>ROUND(K13*K11,0)</f>
        <v>926741.0</v>
      </c>
      <c r="L15">
        <f>ROUND(L13*L11,0)</f>
        <v>997674.0</v>
      </c>
      <c r="M15">
        <f>ROUND(M13*M11,0)</f>
        <v>1074113.0</v>
      </c>
      <c r="N15">
        <f>ROUND(N13*N11,0)</f>
        <v>1156485.0</v>
      </c>
      <c r="O15">
        <f>ROUND(O13*O11,0)</f>
        <v>1244907.0</v>
      </c>
      <c r="P15">
        <f>ROUND(P13*P11,0)</f>
        <v>1340133.0</v>
      </c>
      <c r="Q15">
        <f>ROUND(Q13*Q11,0)</f>
        <v>1442726.0</v>
      </c>
      <c r="R15">
        <f>ROUND(R13*R11,0)</f>
        <v>1553072.0</v>
      </c>
      <c r="S15">
        <f>ROUND(S13*S11,0)</f>
        <v>1671962.0</v>
      </c>
      <c r="T15">
        <f>ROUND(T13*T11,0)</f>
        <v>1800015.0</v>
      </c>
      <c r="U15">
        <f>ROUND(U13*U11,0)</f>
        <v>1937770.0</v>
      </c>
      <c r="V15">
        <f>ROUND(V13*V11,0)</f>
        <v>2086186.0</v>
      </c>
      <c r="W15">
        <f>ROUND(W13*W11,0)</f>
        <v>2245949.0</v>
      </c>
      <c r="X15">
        <f>ROUND(X13*X11,0)</f>
        <v>2417970.0</v>
      </c>
      <c r="Y15">
        <f>ROUND(Y13*Y11,0)</f>
        <v>2603088.0</v>
      </c>
      <c r="Z15">
        <f>ROUND(Z13*Z11,0)</f>
        <v>2802484.0</v>
      </c>
    </row>
    <row r="17">
      <c r="A17" t="inlineStr">
        <is>
          <t>Cumulative revenue</t>
        </is>
      </c>
      <c r="C17">
        <f>C15</f>
        <v>857891.0</v>
      </c>
      <c r="D17">
        <f>C17+D15</f>
        <v>1781403.0</v>
      </c>
      <c r="E17">
        <f>D17+E15</f>
        <v>2775637.0</v>
      </c>
      <c r="F17">
        <f>E17+F15</f>
        <v>3846088.0</v>
      </c>
      <c r="G17">
        <f>F17+G15</f>
        <v>4998484.0</v>
      </c>
      <c r="H17">
        <f>G17+H15</f>
        <v>6239007.0</v>
      </c>
      <c r="I17">
        <f>H17+I15</f>
        <v>7574485.0</v>
      </c>
      <c r="J17">
        <f>I17+J15</f>
        <v>9012103.0</v>
      </c>
      <c r="K17">
        <f>J17+K15</f>
        <v>9938844.0</v>
      </c>
      <c r="L17">
        <f>K17+L15</f>
        <v>10936518.0</v>
      </c>
      <c r="M17">
        <f>L17+M15</f>
        <v>12010631.0</v>
      </c>
      <c r="N17">
        <f>M17+N15</f>
        <v>13167116.0</v>
      </c>
      <c r="O17">
        <f>N17+O15</f>
        <v>14412023.0</v>
      </c>
      <c r="P17">
        <f>O17+P15</f>
        <v>15752156.0</v>
      </c>
      <c r="Q17">
        <f>P17+Q15</f>
        <v>17194882.0</v>
      </c>
      <c r="R17">
        <f>Q17+R15</f>
        <v>18747954.0</v>
      </c>
      <c r="S17">
        <f>R17+S15</f>
        <v>20419916.0</v>
      </c>
      <c r="T17">
        <f>S17+T15</f>
        <v>22219931.0</v>
      </c>
      <c r="U17">
        <f>T17+U15</f>
        <v>24157701.0</v>
      </c>
      <c r="V17">
        <f>U17+V15</f>
        <v>26243887.0</v>
      </c>
      <c r="W17">
        <f>V17+W15</f>
        <v>28489836.0</v>
      </c>
      <c r="X17">
        <f>W17+X15</f>
        <v>30907806.0</v>
      </c>
      <c r="Y17">
        <f>X17+Y15</f>
        <v>33510894.0</v>
      </c>
      <c r="Z17">
        <f>Y17+Z15</f>
        <v>36313378.0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build</t>
        </is>
      </c>
    </row>
    <row r="3">
      <c r="A3" t="inlineStr">
        <is>
          <t>Month</t>
        </is>
      </c>
      <c r="C3">
        <f>Revenue!C3</f>
        <v>1.0</v>
      </c>
      <c r="D3">
        <f>Revenue!D3</f>
        <v>2.0</v>
      </c>
      <c r="E3">
        <f>Revenue!E3</f>
        <v>3.0</v>
      </c>
      <c r="F3">
        <f>Revenue!F3</f>
        <v>4.0</v>
      </c>
      <c r="G3">
        <f>Revenue!G3</f>
        <v>5.0</v>
      </c>
      <c r="H3">
        <f>Revenue!H3</f>
        <v>6.0</v>
      </c>
      <c r="I3">
        <f>Revenue!I3</f>
        <v>7.0</v>
      </c>
      <c r="J3">
        <f>Revenue!J3</f>
        <v>8.0</v>
      </c>
      <c r="K3">
        <f>Revenue!K3</f>
        <v>9.0</v>
      </c>
      <c r="L3">
        <f>Revenue!L3</f>
        <v>10.0</v>
      </c>
      <c r="M3">
        <f>Revenue!M3</f>
        <v>11.0</v>
      </c>
      <c r="N3">
        <f>Revenue!N3</f>
        <v>12.0</v>
      </c>
      <c r="O3">
        <f>Revenue!O3</f>
        <v>13.0</v>
      </c>
      <c r="P3">
        <f>Revenue!P3</f>
        <v>14.0</v>
      </c>
      <c r="Q3">
        <f>Revenue!Q3</f>
        <v>15.0</v>
      </c>
      <c r="R3">
        <f>Revenue!R3</f>
        <v>16.0</v>
      </c>
      <c r="S3">
        <f>Revenue!S3</f>
        <v>17.0</v>
      </c>
      <c r="T3">
        <f>Revenue!T3</f>
        <v>18.0</v>
      </c>
      <c r="U3">
        <f>Revenue!U3</f>
        <v>19.0</v>
      </c>
      <c r="V3">
        <f>Revenue!V3</f>
        <v>20.0</v>
      </c>
      <c r="W3">
        <f>Revenue!W3</f>
        <v>21.0</v>
      </c>
      <c r="X3">
        <f>Revenue!X3</f>
        <v>22.0</v>
      </c>
      <c r="Y3">
        <f>Revenue!Y3</f>
        <v>23.0</v>
      </c>
      <c r="Z3">
        <f>Revenue!Z3</f>
        <v>24.0</v>
      </c>
    </row>
    <row r="5">
      <c r="A5" t="inlineStr">
        <is>
          <t>Headcount</t>
        </is>
      </c>
      <c r="C5">
        <f>Assumptions!$B$12</f>
        <v>32.0</v>
      </c>
      <c r="D5">
        <f>C5+Assumptions!$B$13</f>
        <v>35.0</v>
      </c>
      <c r="E5">
        <f>D5+Assumptions!$B$13</f>
        <v>38.0</v>
      </c>
      <c r="F5">
        <f>E5+Assumptions!$B$13</f>
        <v>41.0</v>
      </c>
      <c r="G5">
        <f>F5+Assumptions!$B$13</f>
        <v>44.0</v>
      </c>
      <c r="H5">
        <f>G5+Assumptions!$B$13</f>
        <v>47.0</v>
      </c>
      <c r="I5">
        <f>H5+Assumptions!$B$13</f>
        <v>50.0</v>
      </c>
      <c r="J5">
        <f>I5+Assumptions!$B$13</f>
        <v>53.0</v>
      </c>
      <c r="K5">
        <f>J5+Assumptions!$B$13</f>
        <v>56.0</v>
      </c>
      <c r="L5">
        <f>K5+Assumptions!$B$13</f>
        <v>59.0</v>
      </c>
      <c r="M5">
        <f>L5+Assumptions!$B$13</f>
        <v>62.0</v>
      </c>
      <c r="N5">
        <f>M5+Assumptions!$B$13</f>
        <v>65.0</v>
      </c>
      <c r="O5">
        <f>N5+Assumptions!$B$13</f>
        <v>68.0</v>
      </c>
      <c r="P5">
        <f>O5+Assumptions!$B$13</f>
        <v>71.0</v>
      </c>
      <c r="Q5">
        <f>P5+Assumptions!$B$13</f>
        <v>74.0</v>
      </c>
      <c r="R5">
        <f>Q5+Assumptions!$B$13</f>
        <v>77.0</v>
      </c>
      <c r="S5">
        <f>R5+Assumptions!$B$13</f>
        <v>80.0</v>
      </c>
      <c r="T5">
        <f>S5+Assumptions!$B$13</f>
        <v>83.0</v>
      </c>
      <c r="U5">
        <f>T5+Assumptions!$B$13</f>
        <v>86.0</v>
      </c>
      <c r="V5">
        <f>U5+Assumptions!$B$13</f>
        <v>89.0</v>
      </c>
      <c r="W5">
        <f>V5+Assumptions!$B$13</f>
        <v>92.0</v>
      </c>
      <c r="X5">
        <f>W5+Assumptions!$B$13</f>
        <v>95.0</v>
      </c>
      <c r="Y5">
        <f>X5+Assumptions!$B$13</f>
        <v>98.0</v>
      </c>
      <c r="Z5">
        <f>Y5+Assumptions!$B$13</f>
        <v>101.0</v>
      </c>
    </row>
    <row r="6">
      <c r="A6" t="inlineStr">
        <is>
          <t>Salary cost</t>
        </is>
      </c>
      <c r="C6">
        <f>ROUND(C5*Assumptions!$B$14/12,0)</f>
        <v>148000.0</v>
      </c>
      <c r="D6">
        <f>ROUND(D5*Assumptions!$B$14/12,0)</f>
        <v>161875.0</v>
      </c>
      <c r="E6">
        <f>ROUND(E5*Assumptions!$B$14/12,0)</f>
        <v>175750.0</v>
      </c>
      <c r="F6">
        <f>ROUND(F5*Assumptions!$B$14/12,0)</f>
        <v>189625.0</v>
      </c>
      <c r="G6">
        <f>ROUND(G5*Assumptions!$B$14/12,0)</f>
        <v>203500.0</v>
      </c>
      <c r="H6">
        <f>ROUND(H5*Assumptions!$B$14/12,0)</f>
        <v>217375.0</v>
      </c>
      <c r="I6">
        <f>ROUND(I5*Assumptions!$B$14/12,0)</f>
        <v>231250.0</v>
      </c>
      <c r="J6">
        <f>ROUND(J5*Assumptions!$B$14/12,0)</f>
        <v>245125.0</v>
      </c>
      <c r="K6">
        <f>ROUND(K5*Assumptions!$B$14/12,0)</f>
        <v>259000.0</v>
      </c>
      <c r="L6">
        <f>ROUND(L5*Assumptions!$B$14/12,0)</f>
        <v>272875.0</v>
      </c>
      <c r="M6">
        <f>ROUND(M5*Assumptions!$B$14/12,0)</f>
        <v>286750.0</v>
      </c>
      <c r="N6">
        <f>ROUND(N5*Assumptions!$B$14/12,0)</f>
        <v>300625.0</v>
      </c>
      <c r="O6">
        <f>ROUND(O5*Assumptions!$B$14/12,0)</f>
        <v>314500.0</v>
      </c>
      <c r="P6">
        <f>ROUND(P5*Assumptions!$B$14/12,0)</f>
        <v>328375.0</v>
      </c>
      <c r="Q6">
        <f>ROUND(Q5*Assumptions!$B$14/12,0)</f>
        <v>342250.0</v>
      </c>
      <c r="R6">
        <f>ROUND(R5*Assumptions!$B$14/12,0)</f>
        <v>356125.0</v>
      </c>
      <c r="S6">
        <f>ROUND(S5*Assumptions!$B$14/12,0)</f>
        <v>370000.0</v>
      </c>
      <c r="T6">
        <f>ROUND(T5*Assumptions!$B$14/12,0)</f>
        <v>383875.0</v>
      </c>
      <c r="U6">
        <f>ROUND(U5*Assumptions!$B$14/12,0)</f>
        <v>397750.0</v>
      </c>
      <c r="V6">
        <f>ROUND(V5*Assumptions!$B$14/12,0)</f>
        <v>411625.0</v>
      </c>
      <c r="W6">
        <f>ROUND(W5*Assumptions!$B$14/12,0)</f>
        <v>425500.0</v>
      </c>
      <c r="X6">
        <f>ROUND(X5*Assumptions!$B$14/12,0)</f>
        <v>439375.0</v>
      </c>
      <c r="Y6">
        <f>ROUND(Y5*Assumptions!$B$14/12,0)</f>
        <v>453250.0</v>
      </c>
      <c r="Z6">
        <f>ROUND(Z5*Assumptions!$B$14/12,0)</f>
        <v>467125.0</v>
      </c>
    </row>
    <row r="7">
      <c r="A7" t="inlineStr">
        <is>
          <t>Payroll tax</t>
        </is>
      </c>
      <c r="C7">
        <f>ROUND(C6*Assumptions!$B$15,0)</f>
        <v>15096.0</v>
      </c>
      <c r="D7">
        <f>ROUND(D6*Assumptions!$B$15,0)</f>
        <v>16511.0</v>
      </c>
      <c r="E7">
        <f>ROUND(E6*Assumptions!$B$15,0)</f>
        <v>17927.0</v>
      </c>
      <c r="F7">
        <f>ROUND(F6*Assumptions!$B$15,0)</f>
        <v>19342.0</v>
      </c>
      <c r="G7">
        <f>ROUND(G6*Assumptions!$B$15,0)</f>
        <v>20757.0</v>
      </c>
      <c r="H7">
        <f>ROUND(H6*Assumptions!$B$15,0)</f>
        <v>22172.0</v>
      </c>
      <c r="I7">
        <f>ROUND(I6*Assumptions!$B$15,0)</f>
        <v>23588.0</v>
      </c>
      <c r="J7">
        <f>ROUND(J6*Assumptions!$B$15,0)</f>
        <v>25003.0</v>
      </c>
      <c r="K7">
        <f>ROUND(K6*Assumptions!$B$15,0)</f>
        <v>26418.0</v>
      </c>
      <c r="L7">
        <f>ROUND(L6*Assumptions!$B$15,0)</f>
        <v>27833.0</v>
      </c>
      <c r="M7">
        <f>ROUND(M6*Assumptions!$B$15,0)</f>
        <v>29249.0</v>
      </c>
      <c r="N7">
        <f>ROUND(N6*Assumptions!$B$15,0)</f>
        <v>30664.0</v>
      </c>
      <c r="O7">
        <f>ROUND(O6*Assumptions!$B$15,0)</f>
        <v>32079.0</v>
      </c>
      <c r="P7">
        <f>ROUND(P6*Assumptions!$B$15,0)</f>
        <v>33494.0</v>
      </c>
      <c r="Q7">
        <f>ROUND(Q6*Assumptions!$B$15,0)</f>
        <v>34910.0</v>
      </c>
      <c r="R7">
        <f>ROUND(R6*Assumptions!$B$15,0)</f>
        <v>36325.0</v>
      </c>
      <c r="S7">
        <f>ROUND(S6*Assumptions!$B$15,0)</f>
        <v>37740.0</v>
      </c>
      <c r="T7">
        <f>ROUND(T6*Assumptions!$B$15,0)</f>
        <v>39155.0</v>
      </c>
      <c r="U7">
        <f>ROUND(U6*Assumptions!$B$15,0)</f>
        <v>40571.0</v>
      </c>
      <c r="V7">
        <f>ROUND(V6*Assumptions!$B$15,0)</f>
        <v>41986.0</v>
      </c>
      <c r="W7">
        <f>ROUND(W6*Assumptions!$B$15,0)</f>
        <v>43401.0</v>
      </c>
      <c r="X7">
        <f>ROUND(X6*Assumptions!$B$15,0)</f>
        <v>44816.0</v>
      </c>
      <c r="Y7">
        <f>ROUND(Y6*Assumptions!$B$15,0)</f>
        <v>46232.0</v>
      </c>
      <c r="Z7">
        <f>ROUND(Z6*Assumptions!$B$15,0)</f>
        <v>47647.0</v>
      </c>
    </row>
    <row r="8">
      <c r="A8" t="inlineStr">
        <is>
          <t>Total staff cost</t>
        </is>
      </c>
      <c r="C8">
        <f>C6+C7</f>
        <v>163096.0</v>
      </c>
      <c r="D8">
        <f>D6+D7</f>
        <v>178386.0</v>
      </c>
      <c r="E8">
        <f>E6+E7</f>
        <v>193677.0</v>
      </c>
      <c r="F8">
        <f>F6+F7</f>
        <v>208967.0</v>
      </c>
      <c r="G8">
        <f>G6+G7</f>
        <v>224257.0</v>
      </c>
      <c r="H8">
        <f>H6+H7</f>
        <v>239547.0</v>
      </c>
      <c r="I8">
        <f>I6+I7</f>
        <v>254838.0</v>
      </c>
      <c r="J8">
        <f>J6+J7</f>
        <v>270128.0</v>
      </c>
      <c r="K8">
        <f>K6+K7</f>
        <v>285418.0</v>
      </c>
      <c r="L8">
        <f>L6+L7</f>
        <v>300708.0</v>
      </c>
      <c r="M8">
        <f>M6+M7</f>
        <v>315999.0</v>
      </c>
      <c r="N8">
        <f>N6+N7</f>
        <v>331289.0</v>
      </c>
      <c r="O8">
        <f>O6+O7</f>
        <v>346579.0</v>
      </c>
      <c r="P8">
        <f>P6+P7</f>
        <v>361869.0</v>
      </c>
      <c r="Q8">
        <f>Q6+Q7</f>
        <v>377160.0</v>
      </c>
      <c r="R8">
        <f>R6+R7</f>
        <v>392450.0</v>
      </c>
      <c r="S8">
        <f>S6+S7</f>
        <v>407740.0</v>
      </c>
      <c r="T8">
        <f>T6+T7</f>
        <v>423030.0</v>
      </c>
      <c r="U8">
        <f>U6+U7</f>
        <v>438321.0</v>
      </c>
      <c r="V8">
        <f>V6+V7</f>
        <v>453611.0</v>
      </c>
      <c r="W8">
        <f>W6+W7</f>
        <v>468901.0</v>
      </c>
      <c r="X8">
        <f>X6+X7</f>
        <v>484191.0</v>
      </c>
      <c r="Y8">
        <f>Y6+Y7</f>
        <v>499482.0</v>
      </c>
      <c r="Z8">
        <f>Z6+Z7</f>
        <v>514772.0</v>
      </c>
    </row>
    <row r="10">
      <c r="A10" t="inlineStr">
        <is>
          <t>Cost of sales</t>
        </is>
      </c>
      <c r="C10">
        <f>ROUND(Revenue!C15*Assumptions!$B$11,0)</f>
        <v>158024.0</v>
      </c>
      <c r="D10">
        <f>ROUND(Revenue!D15*Assumptions!$B$11,0)</f>
        <v>170111.0</v>
      </c>
      <c r="E10">
        <f>ROUND(Revenue!E15*Assumptions!$B$11,0)</f>
        <v>183138.0</v>
      </c>
      <c r="F10">
        <f>ROUND(Revenue!F15*Assumptions!$B$11,0)</f>
        <v>197177.0</v>
      </c>
      <c r="G10">
        <f>ROUND(Revenue!G15*Assumptions!$B$11,0)</f>
        <v>212271.0</v>
      </c>
      <c r="H10">
        <f>ROUND(Revenue!H15*Assumptions!$B$11,0)</f>
        <v>228504.0</v>
      </c>
      <c r="I10">
        <f>ROUND(Revenue!I15*Assumptions!$B$11,0)</f>
        <v>245995.0</v>
      </c>
      <c r="J10">
        <f>ROUND(Revenue!J15*Assumptions!$B$11,0)</f>
        <v>264809.0</v>
      </c>
      <c r="K10">
        <f>ROUND(Revenue!K15*Assumptions!$B$11,0)</f>
        <v>170706.0</v>
      </c>
      <c r="L10">
        <f>ROUND(Revenue!L15*Assumptions!$B$11,0)</f>
        <v>183772.0</v>
      </c>
      <c r="M10">
        <f>ROUND(Revenue!M15*Assumptions!$B$11,0)</f>
        <v>197852.0</v>
      </c>
      <c r="N10">
        <f>ROUND(Revenue!N15*Assumptions!$B$11,0)</f>
        <v>213025.0</v>
      </c>
      <c r="O10">
        <f>ROUND(Revenue!O15*Assumptions!$B$11,0)</f>
        <v>229312.0</v>
      </c>
      <c r="P10">
        <f>ROUND(Revenue!P15*Assumptions!$B$11,0)</f>
        <v>246852.0</v>
      </c>
      <c r="Q10">
        <f>ROUND(Revenue!Q15*Assumptions!$B$11,0)</f>
        <v>265750.0</v>
      </c>
      <c r="R10">
        <f>ROUND(Revenue!R15*Assumptions!$B$11,0)</f>
        <v>286076.0</v>
      </c>
      <c r="S10">
        <f>ROUND(Revenue!S15*Assumptions!$B$11,0)</f>
        <v>307975.0</v>
      </c>
      <c r="T10">
        <f>ROUND(Revenue!T15*Assumptions!$B$11,0)</f>
        <v>331563.0</v>
      </c>
      <c r="U10">
        <f>ROUND(Revenue!U15*Assumptions!$B$11,0)</f>
        <v>356937.0</v>
      </c>
      <c r="V10">
        <f>ROUND(Revenue!V15*Assumptions!$B$11,0)</f>
        <v>384275.0</v>
      </c>
      <c r="W10">
        <f>ROUND(Revenue!W15*Assumptions!$B$11,0)</f>
        <v>413704.0</v>
      </c>
      <c r="X10">
        <f>ROUND(Revenue!X15*Assumptions!$B$11,0)</f>
        <v>445390.0</v>
      </c>
      <c r="Y10">
        <f>ROUND(Revenue!Y15*Assumptions!$B$11,0)</f>
        <v>479489.0</v>
      </c>
      <c r="Z10">
        <f>ROUND(Revenue!Z15*Assumptions!$B$11,0)</f>
        <v>516218.0</v>
      </c>
    </row>
    <row r="11">
      <c r="A11" t="inlineStr">
        <is>
          <t>Marketing</t>
        </is>
      </c>
      <c r="C11">
        <f>ROUND(Revenue!C15*Assumptions!$B$16,0)</f>
        <v>118303.0</v>
      </c>
      <c r="D11">
        <f>ROUND(Revenue!D15*Assumptions!$B$16,0)</f>
        <v>127352.0</v>
      </c>
      <c r="E11">
        <f>ROUND(Revenue!E15*Assumptions!$B$16,0)</f>
        <v>137105.0</v>
      </c>
      <c r="F11">
        <f>ROUND(Revenue!F15*Assumptions!$B$16,0)</f>
        <v>147615.0</v>
      </c>
      <c r="G11">
        <f>ROUND(Revenue!G15*Assumptions!$B$16,0)</f>
        <v>158915.0</v>
      </c>
      <c r="H11">
        <f>ROUND(Revenue!H15*Assumptions!$B$16,0)</f>
        <v>171068.0</v>
      </c>
      <c r="I11">
        <f>ROUND(Revenue!I15*Assumptions!$B$16,0)</f>
        <v>184162.0</v>
      </c>
      <c r="J11">
        <f>ROUND(Revenue!J15*Assumptions!$B$16,0)</f>
        <v>198248.0</v>
      </c>
      <c r="K11">
        <f>ROUND(Revenue!K15*Assumptions!$B$16,0)</f>
        <v>127798.0</v>
      </c>
      <c r="L11">
        <f>ROUND(Revenue!L15*Assumptions!$B$16,0)</f>
        <v>137579.0</v>
      </c>
      <c r="M11">
        <f>ROUND(Revenue!M15*Assumptions!$B$16,0)</f>
        <v>148120.0</v>
      </c>
      <c r="N11">
        <f>ROUND(Revenue!N15*Assumptions!$B$16,0)</f>
        <v>159479.0</v>
      </c>
      <c r="O11">
        <f>ROUND(Revenue!O15*Assumptions!$B$16,0)</f>
        <v>171673.0</v>
      </c>
      <c r="P11">
        <f>ROUND(Revenue!P15*Assumptions!$B$16,0)</f>
        <v>184804.0</v>
      </c>
      <c r="Q11">
        <f>ROUND(Revenue!Q15*Assumptions!$B$16,0)</f>
        <v>198952.0</v>
      </c>
      <c r="R11">
        <f>ROUND(Revenue!R15*Assumptions!$B$16,0)</f>
        <v>214169.0</v>
      </c>
      <c r="S11">
        <f>ROUND(Revenue!S15*Assumptions!$B$16,0)</f>
        <v>230564.0</v>
      </c>
      <c r="T11">
        <f>ROUND(Revenue!T15*Assumptions!$B$16,0)</f>
        <v>248222.0</v>
      </c>
      <c r="U11">
        <f>ROUND(Revenue!U15*Assumptions!$B$16,0)</f>
        <v>267218.0</v>
      </c>
      <c r="V11">
        <f>ROUND(Revenue!V15*Assumptions!$B$16,0)</f>
        <v>287685.0</v>
      </c>
      <c r="W11">
        <f>ROUND(Revenue!W15*Assumptions!$B$16,0)</f>
        <v>309716.0</v>
      </c>
      <c r="X11">
        <f>ROUND(Revenue!X15*Assumptions!$B$16,0)</f>
        <v>333438.0</v>
      </c>
      <c r="Y11">
        <f>ROUND(Revenue!Y15*Assumptions!$B$16,0)</f>
        <v>358966.0</v>
      </c>
      <c r="Z11">
        <f>ROUND(Revenue!Z15*Assumptions!$B$16,0)</f>
        <v>386463.0</v>
      </c>
    </row>
    <row r="12">
      <c r="A12" t="inlineStr">
        <is>
          <t>Overhead</t>
        </is>
      </c>
      <c r="C12">
        <f>ROUND(Assumptions!$B$17,0)</f>
        <v>40000.0</v>
      </c>
      <c r="D12">
        <f>ROUND(C12*(1+Assumptions!$B$18),0)</f>
        <v>40120.0</v>
      </c>
      <c r="E12">
        <f>ROUND(D12*(1+Assumptions!$B$18),0)</f>
        <v>40240.0</v>
      </c>
      <c r="F12">
        <f>ROUND(E12*(1+Assumptions!$B$18),0)</f>
        <v>40361.0</v>
      </c>
      <c r="G12">
        <f>ROUND(F12*(1+Assumptions!$B$18),0)</f>
        <v>40482.0</v>
      </c>
      <c r="H12">
        <f>ROUND(G12*(1+Assumptions!$B$18),0)</f>
        <v>40603.0</v>
      </c>
      <c r="I12">
        <f>ROUND(H12*(1+Assumptions!$B$18),0)</f>
        <v>40725.0</v>
      </c>
      <c r="J12">
        <f>ROUND(I12*(1+Assumptions!$B$18),0)</f>
        <v>40847.0</v>
      </c>
      <c r="K12">
        <f>ROUND(J12*(1+Assumptions!$B$18),0)</f>
        <v>40970.0</v>
      </c>
      <c r="L12">
        <f>ROUND(K12*(1+Assumptions!$B$18),0)</f>
        <v>41093.0</v>
      </c>
      <c r="M12">
        <f>ROUND(L12*(1+Assumptions!$B$18),0)</f>
        <v>41216.0</v>
      </c>
      <c r="N12">
        <f>ROUND(M12*(1+Assumptions!$B$18),0)</f>
        <v>41340.0</v>
      </c>
      <c r="O12">
        <f>ROUND(N12*(1+Assumptions!$B$18),0)</f>
        <v>41464.0</v>
      </c>
      <c r="P12">
        <f>ROUND(O12*(1+Assumptions!$B$18),0)</f>
        <v>41588.0</v>
      </c>
      <c r="Q12">
        <f>ROUND(P12*(1+Assumptions!$B$18),0)</f>
        <v>41713.0</v>
      </c>
      <c r="R12">
        <f>ROUND(Q12*(1+Assumptions!$B$18),0)</f>
        <v>41838.0</v>
      </c>
      <c r="S12">
        <f>ROUND(R12*(1+Assumptions!$B$18),0)</f>
        <v>41964.0</v>
      </c>
      <c r="T12">
        <f>ROUND(S12*(1+Assumptions!$B$18),0)</f>
        <v>42090.0</v>
      </c>
      <c r="U12">
        <f>ROUND(T12*(1+Assumptions!$B$18),0)</f>
        <v>42216.0</v>
      </c>
      <c r="V12">
        <f>ROUND(U12*(1+Assumptions!$B$18),0)</f>
        <v>42343.0</v>
      </c>
      <c r="W12">
        <f>ROUND(V12*(1+Assumptions!$B$18),0)</f>
        <v>42470.0</v>
      </c>
      <c r="X12">
        <f>ROUND(W12*(1+Assumptions!$B$18),0)</f>
        <v>42597.0</v>
      </c>
      <c r="Y12">
        <f>ROUND(X12*(1+Assumptions!$B$18),0)</f>
        <v>42725.0</v>
      </c>
      <c r="Z12">
        <f>ROUND(Y12*(1+Assumptions!$B$18),0)</f>
        <v>42853.0</v>
      </c>
    </row>
    <row r="14">
      <c r="A14" t="inlineStr">
        <is>
          <t>Total costs</t>
        </is>
      </c>
      <c r="C14">
        <f>C8+C10+C11+C12</f>
        <v>479423.0</v>
      </c>
      <c r="D14">
        <f>D8+D10+D11+D12</f>
        <v>515969.0</v>
      </c>
      <c r="E14">
        <f>E8+E10+E11+E12</f>
        <v>554160.0</v>
      </c>
      <c r="F14">
        <f>F8+F10+F11+F12</f>
        <v>594120.0</v>
      </c>
      <c r="G14">
        <f>G8+G10+G11+G12</f>
        <v>635925.0</v>
      </c>
      <c r="H14">
        <f>H8+H10+H11+H12</f>
        <v>679722.0</v>
      </c>
      <c r="I14">
        <f>I8+I10+I11+I12</f>
        <v>725720.0</v>
      </c>
      <c r="J14">
        <f>J8+J10+J11+J12</f>
        <v>774032.0</v>
      </c>
      <c r="K14">
        <f>K8+K10+K11+K12</f>
        <v>624892.0</v>
      </c>
      <c r="L14">
        <f>L8+L10+L11+L12</f>
        <v>663152.0</v>
      </c>
      <c r="M14">
        <f>M8+M10+M11+M12</f>
        <v>703187.0</v>
      </c>
      <c r="N14">
        <f>N8+N10+N11+N12</f>
        <v>745133.0</v>
      </c>
      <c r="O14">
        <f>O8+O10+O11+O12</f>
        <v>789028.0</v>
      </c>
      <c r="P14">
        <f>P8+P10+P11+P12</f>
        <v>835113.0</v>
      </c>
      <c r="Q14">
        <f>Q8+Q10+Q11+Q12</f>
        <v>883575.0</v>
      </c>
      <c r="R14">
        <f>R8+R10+R11+R12</f>
        <v>934533.0</v>
      </c>
      <c r="S14">
        <f>S8+S10+S11+S12</f>
        <v>988243.0</v>
      </c>
      <c r="T14">
        <f>T8+T10+T11+T12</f>
        <v>1044905.0</v>
      </c>
      <c r="U14">
        <f>U8+U10+U11+U12</f>
        <v>1104692.0</v>
      </c>
      <c r="V14">
        <f>V8+V10+V11+V12</f>
        <v>1167914.0</v>
      </c>
      <c r="W14">
        <f>W8+W10+W11+W12</f>
        <v>1234791.0</v>
      </c>
      <c r="X14">
        <f>X8+X10+X11+X12</f>
        <v>1305616.0</v>
      </c>
      <c r="Y14">
        <f>Y8+Y10+Y11+Y12</f>
        <v>1380662.0</v>
      </c>
      <c r="Z14">
        <f>Z8+Z10+Z11+Z12</f>
        <v>1460306.0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Profit and loss</t>
        </is>
      </c>
    </row>
    <row r="3">
      <c r="A3" t="inlineStr">
        <is>
          <t>Month</t>
        </is>
      </c>
      <c r="C3">
        <f>Revenue!C3</f>
        <v>1.0</v>
      </c>
      <c r="D3">
        <f>Revenue!D3</f>
        <v>2.0</v>
      </c>
      <c r="E3">
        <f>Revenue!E3</f>
        <v>3.0</v>
      </c>
      <c r="F3">
        <f>Revenue!F3</f>
        <v>4.0</v>
      </c>
      <c r="G3">
        <f>Revenue!G3</f>
        <v>5.0</v>
      </c>
      <c r="H3">
        <f>Revenue!H3</f>
        <v>6.0</v>
      </c>
      <c r="I3">
        <f>Revenue!I3</f>
        <v>7.0</v>
      </c>
      <c r="J3">
        <f>Revenue!J3</f>
        <v>8.0</v>
      </c>
      <c r="K3">
        <f>Revenue!K3</f>
        <v>9.0</v>
      </c>
      <c r="L3">
        <f>Revenue!L3</f>
        <v>10.0</v>
      </c>
      <c r="M3">
        <f>Revenue!M3</f>
        <v>11.0</v>
      </c>
      <c r="N3">
        <f>Revenue!N3</f>
        <v>12.0</v>
      </c>
      <c r="O3">
        <f>Revenue!O3</f>
        <v>13.0</v>
      </c>
      <c r="P3">
        <f>Revenue!P3</f>
        <v>14.0</v>
      </c>
      <c r="Q3">
        <f>Revenue!Q3</f>
        <v>15.0</v>
      </c>
      <c r="R3">
        <f>Revenue!R3</f>
        <v>16.0</v>
      </c>
      <c r="S3">
        <f>Revenue!S3</f>
        <v>17.0</v>
      </c>
      <c r="T3">
        <f>Revenue!T3</f>
        <v>18.0</v>
      </c>
      <c r="U3">
        <f>Revenue!U3</f>
        <v>19.0</v>
      </c>
      <c r="V3">
        <f>Revenue!V3</f>
        <v>20.0</v>
      </c>
      <c r="W3">
        <f>Revenue!W3</f>
        <v>21.0</v>
      </c>
      <c r="X3">
        <f>Revenue!X3</f>
        <v>22.0</v>
      </c>
      <c r="Y3">
        <f>Revenue!Y3</f>
        <v>23.0</v>
      </c>
      <c r="Z3">
        <f>Revenue!Z3</f>
        <v>24.0</v>
      </c>
      <c r="AA3" t="inlineStr">
        <is>
          <t>Total</t>
        </is>
      </c>
    </row>
    <row r="5">
      <c r="A5" t="inlineStr">
        <is>
          <t>Revenue</t>
        </is>
      </c>
      <c r="C5">
        <f>Revenue!C15</f>
        <v>857891.0</v>
      </c>
      <c r="D5">
        <f>Revenue!D15</f>
        <v>923512.0</v>
      </c>
      <c r="E5">
        <f>Revenue!E15</f>
        <v>994234.0</v>
      </c>
      <c r="F5">
        <f>Revenue!F15</f>
        <v>1070451.0</v>
      </c>
      <c r="G5">
        <f>Revenue!G15</f>
        <v>1152396.0</v>
      </c>
      <c r="H5">
        <f>Revenue!H15</f>
        <v>1240523.0</v>
      </c>
      <c r="I5">
        <f>Revenue!I15</f>
        <v>1335478.0</v>
      </c>
      <c r="J5">
        <f>Revenue!J15</f>
        <v>1437618.0</v>
      </c>
      <c r="K5">
        <f>Revenue!K15</f>
        <v>926741.0</v>
      </c>
      <c r="L5">
        <f>Revenue!L15</f>
        <v>997674.0</v>
      </c>
      <c r="M5">
        <f>Revenue!M15</f>
        <v>1074113.0</v>
      </c>
      <c r="N5">
        <f>Revenue!N15</f>
        <v>1156485.0</v>
      </c>
      <c r="O5">
        <f>Revenue!O15</f>
        <v>1244907.0</v>
      </c>
      <c r="P5">
        <f>Revenue!P15</f>
        <v>1340133.0</v>
      </c>
      <c r="Q5">
        <f>Revenue!Q15</f>
        <v>1442726.0</v>
      </c>
      <c r="R5">
        <f>Revenue!R15</f>
        <v>1553072.0</v>
      </c>
      <c r="S5">
        <f>Revenue!S15</f>
        <v>1671962.0</v>
      </c>
      <c r="T5">
        <f>Revenue!T15</f>
        <v>1800015.0</v>
      </c>
      <c r="U5">
        <f>Revenue!U15</f>
        <v>1937770.0</v>
      </c>
      <c r="V5">
        <f>Revenue!V15</f>
        <v>2086186.0</v>
      </c>
      <c r="W5">
        <f>Revenue!W15</f>
        <v>2245949.0</v>
      </c>
      <c r="X5">
        <f>Revenue!X15</f>
        <v>2417970.0</v>
      </c>
      <c r="Y5">
        <f>Revenue!Y15</f>
        <v>2603088.0</v>
      </c>
      <c r="Z5">
        <f>Revenue!Z15</f>
        <v>2802484.0</v>
      </c>
      <c r="AA5">
        <f>SUM(C5:Z5)</f>
        <v>36313378.0</v>
      </c>
    </row>
    <row r="6">
      <c r="A6" t="inlineStr">
        <is>
          <t>Cost of sales</t>
        </is>
      </c>
      <c r="C6">
        <f>-Costs!C10</f>
        <v>-158024.0</v>
      </c>
      <c r="D6">
        <f>-Costs!D10</f>
        <v>-170111.0</v>
      </c>
      <c r="E6">
        <f>-Costs!E10</f>
        <v>-183138.0</v>
      </c>
      <c r="F6">
        <f>-Costs!F10</f>
        <v>-197177.0</v>
      </c>
      <c r="G6">
        <f>-Costs!G10</f>
        <v>-212271.0</v>
      </c>
      <c r="H6">
        <f>-Costs!H10</f>
        <v>-228504.0</v>
      </c>
      <c r="I6">
        <f>-Costs!I10</f>
        <v>-245995.0</v>
      </c>
      <c r="J6">
        <f>-Costs!J10</f>
        <v>-264809.0</v>
      </c>
      <c r="K6">
        <f>-Costs!K10</f>
        <v>-170706.0</v>
      </c>
      <c r="L6">
        <f>-Costs!L10</f>
        <v>-183772.0</v>
      </c>
      <c r="M6">
        <f>-Costs!M10</f>
        <v>-197852.0</v>
      </c>
      <c r="N6">
        <f>-Costs!N10</f>
        <v>-213025.0</v>
      </c>
      <c r="O6">
        <f>-Costs!O10</f>
        <v>-229312.0</v>
      </c>
      <c r="P6">
        <f>-Costs!P10</f>
        <v>-246852.0</v>
      </c>
      <c r="Q6">
        <f>-Costs!Q10</f>
        <v>-265750.0</v>
      </c>
      <c r="R6">
        <f>-Costs!R10</f>
        <v>-286076.0</v>
      </c>
      <c r="S6">
        <f>-Costs!S10</f>
        <v>-307975.0</v>
      </c>
      <c r="T6">
        <f>-Costs!T10</f>
        <v>-331563.0</v>
      </c>
      <c r="U6">
        <f>-Costs!U10</f>
        <v>-356937.0</v>
      </c>
      <c r="V6">
        <f>-Costs!V10</f>
        <v>-384275.0</v>
      </c>
      <c r="W6">
        <f>-Costs!W10</f>
        <v>-413704.0</v>
      </c>
      <c r="X6">
        <f>-Costs!X10</f>
        <v>-445390.0</v>
      </c>
      <c r="Y6">
        <f>-Costs!Y10</f>
        <v>-479489.0</v>
      </c>
      <c r="Z6">
        <f>-Costs!Z10</f>
        <v>-516218.0</v>
      </c>
      <c r="AA6">
        <f>SUM(C6:Z6)</f>
        <v>-6688925.0</v>
      </c>
    </row>
    <row r="7">
      <c r="A7" t="inlineStr">
        <is>
          <t>Gross profit</t>
        </is>
      </c>
      <c r="C7">
        <f>C5+C6</f>
        <v>699867.0</v>
      </c>
      <c r="D7">
        <f>D5+D6</f>
        <v>753401.0</v>
      </c>
      <c r="E7">
        <f>E5+E6</f>
        <v>811096.0</v>
      </c>
      <c r="F7">
        <f>F5+F6</f>
        <v>873274.0</v>
      </c>
      <c r="G7">
        <f>G5+G6</f>
        <v>940125.0</v>
      </c>
      <c r="H7">
        <f>H5+H6</f>
        <v>1012019.0</v>
      </c>
      <c r="I7">
        <f>I5+I6</f>
        <v>1089483.0</v>
      </c>
      <c r="J7">
        <f>J5+J6</f>
        <v>1172809.0</v>
      </c>
      <c r="K7">
        <f>K5+K6</f>
        <v>756035.0</v>
      </c>
      <c r="L7">
        <f>L5+L6</f>
        <v>813902.0</v>
      </c>
      <c r="M7">
        <f>M5+M6</f>
        <v>876261.0</v>
      </c>
      <c r="N7">
        <f>N5+N6</f>
        <v>943460.0</v>
      </c>
      <c r="O7">
        <f>O5+O6</f>
        <v>1015595.0</v>
      </c>
      <c r="P7">
        <f>P5+P6</f>
        <v>1093281.0</v>
      </c>
      <c r="Q7">
        <f>Q5+Q6</f>
        <v>1176976.0</v>
      </c>
      <c r="R7">
        <f>R5+R6</f>
        <v>1266996.0</v>
      </c>
      <c r="S7">
        <f>S5+S6</f>
        <v>1363987.0</v>
      </c>
      <c r="T7">
        <f>T5+T6</f>
        <v>1468452.0</v>
      </c>
      <c r="U7">
        <f>U5+U6</f>
        <v>1580833.0</v>
      </c>
      <c r="V7">
        <f>V5+V6</f>
        <v>1701911.0</v>
      </c>
      <c r="W7">
        <f>W5+W6</f>
        <v>1832245.0</v>
      </c>
      <c r="X7">
        <f>X5+X6</f>
        <v>1972580.0</v>
      </c>
      <c r="Y7">
        <f>Y5+Y6</f>
        <v>2123599.0</v>
      </c>
      <c r="Z7">
        <f>Z5+Z6</f>
        <v>2286266.0</v>
      </c>
      <c r="AA7">
        <f>SUM(C7:Z7)</f>
        <v>29624453.0</v>
      </c>
    </row>
    <row r="8">
      <c r="A8" t="inlineStr">
        <is>
          <t>Gross margin</t>
        </is>
      </c>
      <c r="C8">
        <f>IF(C5=0,0,ROUND(C7/C5,4))</f>
        <v>0.8158</v>
      </c>
      <c r="D8">
        <f>IF(D5=0,0,ROUND(D7/D5,4))</f>
        <v>0.8158</v>
      </c>
      <c r="E8">
        <f>IF(E5=0,0,ROUND(E7/E5,4))</f>
        <v>0.8158</v>
      </c>
      <c r="F8">
        <f>IF(F5=0,0,ROUND(F7/F5,4))</f>
        <v>0.8158</v>
      </c>
      <c r="G8">
        <f>IF(G5=0,0,ROUND(G7/G5,4))</f>
        <v>0.8158</v>
      </c>
      <c r="H8">
        <f>IF(H5=0,0,ROUND(H7/H5,4))</f>
        <v>0.8158</v>
      </c>
      <c r="I8">
        <f>IF(I5=0,0,ROUND(I7/I5,4))</f>
        <v>0.8158</v>
      </c>
      <c r="J8">
        <f>IF(J5=0,0,ROUND(J7/J5,4))</f>
        <v>0.8158</v>
      </c>
      <c r="K8">
        <f>IF(K5=0,0,ROUND(K7/K5,4))</f>
        <v>0.8158</v>
      </c>
      <c r="L8">
        <f>IF(L5=0,0,ROUND(L7/L5,4))</f>
        <v>0.8158</v>
      </c>
      <c r="M8">
        <f>IF(M5=0,0,ROUND(M7/M5,4))</f>
        <v>0.8158</v>
      </c>
      <c r="N8">
        <f>IF(N5=0,0,ROUND(N7/N5,4))</f>
        <v>0.8158</v>
      </c>
      <c r="O8">
        <f>IF(O5=0,0,ROUND(O7/O5,4))</f>
        <v>0.8158</v>
      </c>
      <c r="P8">
        <f>IF(P5=0,0,ROUND(P7/P5,4))</f>
        <v>0.8158</v>
      </c>
      <c r="Q8">
        <f>IF(Q5=0,0,ROUND(Q7/Q5,4))</f>
        <v>0.8158</v>
      </c>
      <c r="R8">
        <f>IF(R5=0,0,ROUND(R7/R5,4))</f>
        <v>0.8158</v>
      </c>
      <c r="S8">
        <f>IF(S5=0,0,ROUND(S7/S5,4))</f>
        <v>0.8158</v>
      </c>
      <c r="T8">
        <f>IF(T5=0,0,ROUND(T7/T5,4))</f>
        <v>0.8158</v>
      </c>
      <c r="U8">
        <f>IF(U5=0,0,ROUND(U7/U5,4))</f>
        <v>0.8158</v>
      </c>
      <c r="V8">
        <f>IF(V5=0,0,ROUND(V7/V5,4))</f>
        <v>0.8158</v>
      </c>
      <c r="W8">
        <f>IF(W5=0,0,ROUND(W7/W5,4))</f>
        <v>0.8158</v>
      </c>
      <c r="X8">
        <f>IF(X5=0,0,ROUND(X7/X5,4))</f>
        <v>0.8158</v>
      </c>
      <c r="Y8">
        <f>IF(Y5=0,0,ROUND(Y7/Y5,4))</f>
        <v>0.8158</v>
      </c>
      <c r="Z8">
        <f>IF(Z5=0,0,ROUND(Z7/Z5,4))</f>
        <v>0.8158</v>
      </c>
    </row>
    <row r="10">
      <c r="A10" t="inlineStr">
        <is>
          <t>Staff costs</t>
        </is>
      </c>
      <c r="C10">
        <f>-Costs!C8</f>
        <v>-163096.0</v>
      </c>
      <c r="D10">
        <f>-Costs!D8</f>
        <v>-178386.0</v>
      </c>
      <c r="E10">
        <f>-Costs!E8</f>
        <v>-193677.0</v>
      </c>
      <c r="F10">
        <f>-Costs!F8</f>
        <v>-208967.0</v>
      </c>
      <c r="G10">
        <f>-Costs!G8</f>
        <v>-224257.0</v>
      </c>
      <c r="H10">
        <f>-Costs!H8</f>
        <v>-239547.0</v>
      </c>
      <c r="I10">
        <f>-Costs!I8</f>
        <v>-254838.0</v>
      </c>
      <c r="J10">
        <f>-Costs!J8</f>
        <v>-270128.0</v>
      </c>
      <c r="K10">
        <f>-Costs!K8</f>
        <v>-285418.0</v>
      </c>
      <c r="L10">
        <f>-Costs!L8</f>
        <v>-300708.0</v>
      </c>
      <c r="M10">
        <f>-Costs!M8</f>
        <v>-315999.0</v>
      </c>
      <c r="N10">
        <f>-Costs!N8</f>
        <v>-331289.0</v>
      </c>
      <c r="O10">
        <f>-Costs!O8</f>
        <v>-346579.0</v>
      </c>
      <c r="P10">
        <f>-Costs!P8</f>
        <v>-361869.0</v>
      </c>
      <c r="Q10">
        <f>-Costs!Q8</f>
        <v>-377160.0</v>
      </c>
      <c r="R10">
        <f>-Costs!R8</f>
        <v>-392450.0</v>
      </c>
      <c r="S10">
        <f>-Costs!S8</f>
        <v>-407740.0</v>
      </c>
      <c r="T10">
        <f>-Costs!T8</f>
        <v>-423030.0</v>
      </c>
      <c r="U10">
        <f>-Costs!U8</f>
        <v>-438321.0</v>
      </c>
      <c r="V10">
        <f>-Costs!V8</f>
        <v>-453611.0</v>
      </c>
      <c r="W10">
        <f>-Costs!W8</f>
        <v>-468901.0</v>
      </c>
      <c r="X10">
        <f>-Costs!X8</f>
        <v>-484191.0</v>
      </c>
      <c r="Y10">
        <f>-Costs!Y8</f>
        <v>-499482.0</v>
      </c>
      <c r="Z10">
        <f>-Costs!Z8</f>
        <v>-514772.0</v>
      </c>
      <c r="AA10">
        <f>SUM(C10:Z10)</f>
        <v>-8134416.0</v>
      </c>
    </row>
    <row r="11">
      <c r="A11" t="inlineStr">
        <is>
          <t>Marketing</t>
        </is>
      </c>
      <c r="C11">
        <f>-Costs!C11</f>
        <v>-118303.0</v>
      </c>
      <c r="D11">
        <f>-Costs!D11</f>
        <v>-127352.0</v>
      </c>
      <c r="E11">
        <f>-Costs!E11</f>
        <v>-137105.0</v>
      </c>
      <c r="F11">
        <f>-Costs!F11</f>
        <v>-147615.0</v>
      </c>
      <c r="G11">
        <f>-Costs!G11</f>
        <v>-158915.0</v>
      </c>
      <c r="H11">
        <f>-Costs!H11</f>
        <v>-171068.0</v>
      </c>
      <c r="I11">
        <f>-Costs!I11</f>
        <v>-184162.0</v>
      </c>
      <c r="J11">
        <f>-Costs!J11</f>
        <v>-198248.0</v>
      </c>
      <c r="K11">
        <f>-Costs!K11</f>
        <v>-127798.0</v>
      </c>
      <c r="L11">
        <f>-Costs!L11</f>
        <v>-137579.0</v>
      </c>
      <c r="M11">
        <f>-Costs!M11</f>
        <v>-148120.0</v>
      </c>
      <c r="N11">
        <f>-Costs!N11</f>
        <v>-159479.0</v>
      </c>
      <c r="O11">
        <f>-Costs!O11</f>
        <v>-171673.0</v>
      </c>
      <c r="P11">
        <f>-Costs!P11</f>
        <v>-184804.0</v>
      </c>
      <c r="Q11">
        <f>-Costs!Q11</f>
        <v>-198952.0</v>
      </c>
      <c r="R11">
        <f>-Costs!R11</f>
        <v>-214169.0</v>
      </c>
      <c r="S11">
        <f>-Costs!S11</f>
        <v>-230564.0</v>
      </c>
      <c r="T11">
        <f>-Costs!T11</f>
        <v>-248222.0</v>
      </c>
      <c r="U11">
        <f>-Costs!U11</f>
        <v>-267218.0</v>
      </c>
      <c r="V11">
        <f>-Costs!V11</f>
        <v>-287685.0</v>
      </c>
      <c r="W11">
        <f>-Costs!W11</f>
        <v>-309716.0</v>
      </c>
      <c r="X11">
        <f>-Costs!X11</f>
        <v>-333438.0</v>
      </c>
      <c r="Y11">
        <f>-Costs!Y11</f>
        <v>-358966.0</v>
      </c>
      <c r="Z11">
        <f>-Costs!Z11</f>
        <v>-386463.0</v>
      </c>
      <c r="AA11">
        <f>SUM(C11:Z11)</f>
        <v>-5007614.0</v>
      </c>
    </row>
    <row r="12">
      <c r="A12" t="inlineStr">
        <is>
          <t>Overhead</t>
        </is>
      </c>
      <c r="C12">
        <f>-Costs!C12</f>
        <v>-40000.0</v>
      </c>
      <c r="D12">
        <f>-Costs!D12</f>
        <v>-40120.0</v>
      </c>
      <c r="E12">
        <f>-Costs!E12</f>
        <v>-40240.0</v>
      </c>
      <c r="F12">
        <f>-Costs!F12</f>
        <v>-40361.0</v>
      </c>
      <c r="G12">
        <f>-Costs!G12</f>
        <v>-40482.0</v>
      </c>
      <c r="H12">
        <f>-Costs!H12</f>
        <v>-40603.0</v>
      </c>
      <c r="I12">
        <f>-Costs!I12</f>
        <v>-40725.0</v>
      </c>
      <c r="J12">
        <f>-Costs!J12</f>
        <v>-40847.0</v>
      </c>
      <c r="K12">
        <f>-Costs!K12</f>
        <v>-40970.0</v>
      </c>
      <c r="L12">
        <f>-Costs!L12</f>
        <v>-41093.0</v>
      </c>
      <c r="M12">
        <f>-Costs!M12</f>
        <v>-41216.0</v>
      </c>
      <c r="N12">
        <f>-Costs!N12</f>
        <v>-41340.0</v>
      </c>
      <c r="O12">
        <f>-Costs!O12</f>
        <v>-41464.0</v>
      </c>
      <c r="P12">
        <f>-Costs!P12</f>
        <v>-41588.0</v>
      </c>
      <c r="Q12">
        <f>-Costs!Q12</f>
        <v>-41713.0</v>
      </c>
      <c r="R12">
        <f>-Costs!R12</f>
        <v>-41838.0</v>
      </c>
      <c r="S12">
        <f>-Costs!S12</f>
        <v>-41964.0</v>
      </c>
      <c r="T12">
        <f>-Costs!T12</f>
        <v>-42090.0</v>
      </c>
      <c r="U12">
        <f>-Costs!U12</f>
        <v>-42216.0</v>
      </c>
      <c r="V12">
        <f>-Costs!V12</f>
        <v>-42343.0</v>
      </c>
      <c r="W12">
        <f>-Costs!W12</f>
        <v>-42470.0</v>
      </c>
      <c r="X12">
        <f>-Costs!X12</f>
        <v>-42597.0</v>
      </c>
      <c r="Y12">
        <f>-Costs!Y12</f>
        <v>-42725.0</v>
      </c>
      <c r="Z12">
        <f>-Costs!Z12</f>
        <v>-42853.0</v>
      </c>
      <c r="AA12">
        <f>SUM(C12:Z12)</f>
        <v>-993858.0</v>
      </c>
    </row>
    <row r="13">
      <c r="A13" t="inlineStr">
        <is>
          <t>Total operating costs</t>
        </is>
      </c>
      <c r="C13">
        <f>C10+C11+C12</f>
        <v>-321399.0</v>
      </c>
      <c r="D13">
        <f>D10+D11+D12</f>
        <v>-345858.0</v>
      </c>
      <c r="E13">
        <f>E10+E11+E12</f>
        <v>-371022.0</v>
      </c>
      <c r="F13">
        <f>F10+F11+F12</f>
        <v>-396943.0</v>
      </c>
      <c r="G13">
        <f>G10+G11+G12</f>
        <v>-423654.0</v>
      </c>
      <c r="H13">
        <f>H10+H11+H12</f>
        <v>-451218.0</v>
      </c>
      <c r="I13">
        <f>I10+I11+I12</f>
        <v>-479725.0</v>
      </c>
      <c r="J13">
        <f>J10+J11+J12</f>
        <v>-509223.0</v>
      </c>
      <c r="K13">
        <f>K10+K11+K12</f>
        <v>-454186.0</v>
      </c>
      <c r="L13">
        <f>L10+L11+L12</f>
        <v>-479380.0</v>
      </c>
      <c r="M13">
        <f>M10+M11+M12</f>
        <v>-505335.0</v>
      </c>
      <c r="N13">
        <f>N10+N11+N12</f>
        <v>-532108.0</v>
      </c>
      <c r="O13">
        <f>O10+O11+O12</f>
        <v>-559716.0</v>
      </c>
      <c r="P13">
        <f>P10+P11+P12</f>
        <v>-588261.0</v>
      </c>
      <c r="Q13">
        <f>Q10+Q11+Q12</f>
        <v>-617825.0</v>
      </c>
      <c r="R13">
        <f>R10+R11+R12</f>
        <v>-648457.0</v>
      </c>
      <c r="S13">
        <f>S10+S11+S12</f>
        <v>-680268.0</v>
      </c>
      <c r="T13">
        <f>T10+T11+T12</f>
        <v>-713342.0</v>
      </c>
      <c r="U13">
        <f>U10+U11+U12</f>
        <v>-747755.0</v>
      </c>
      <c r="V13">
        <f>V10+V11+V12</f>
        <v>-783639.0</v>
      </c>
      <c r="W13">
        <f>W10+W11+W12</f>
        <v>-821087.0</v>
      </c>
      <c r="X13">
        <f>X10+X11+X12</f>
        <v>-860226.0</v>
      </c>
      <c r="Y13">
        <f>Y10+Y11+Y12</f>
        <v>-901173.0</v>
      </c>
      <c r="Z13">
        <f>Z10+Z11+Z12</f>
        <v>-944088.0</v>
      </c>
      <c r="AA13">
        <f>SUM(C13:Z13)</f>
        <v>-14135888.0</v>
      </c>
    </row>
    <row r="15">
      <c r="A15" t="inlineStr">
        <is>
          <t>EBITDA</t>
        </is>
      </c>
      <c r="C15">
        <f>C7+C13</f>
        <v>378468.0</v>
      </c>
      <c r="D15">
        <f>D7+D13</f>
        <v>407543.0</v>
      </c>
      <c r="E15">
        <f>E7+E13</f>
        <v>440074.0</v>
      </c>
      <c r="F15">
        <f>F7+F13</f>
        <v>476331.0</v>
      </c>
      <c r="G15">
        <f>G7+G13</f>
        <v>516471.0</v>
      </c>
      <c r="H15">
        <f>H7+H13</f>
        <v>560801.0</v>
      </c>
      <c r="I15">
        <f>I7+I13</f>
        <v>609758.0</v>
      </c>
      <c r="J15">
        <f>J7+J13</f>
        <v>663586.0</v>
      </c>
      <c r="K15">
        <f>K7+K13</f>
        <v>301849.0</v>
      </c>
      <c r="L15">
        <f>L7+L13</f>
        <v>334522.0</v>
      </c>
      <c r="M15">
        <f>M7+M13</f>
        <v>370926.0</v>
      </c>
      <c r="N15">
        <f>N7+N13</f>
        <v>411352.0</v>
      </c>
      <c r="O15">
        <f>O7+O13</f>
        <v>455879.0</v>
      </c>
      <c r="P15">
        <f>P7+P13</f>
        <v>505020.0</v>
      </c>
      <c r="Q15">
        <f>Q7+Q13</f>
        <v>559151.0</v>
      </c>
      <c r="R15">
        <f>R7+R13</f>
        <v>618539.0</v>
      </c>
      <c r="S15">
        <f>S7+S13</f>
        <v>683719.0</v>
      </c>
      <c r="T15">
        <f>T7+T13</f>
        <v>755110.0</v>
      </c>
      <c r="U15">
        <f>U7+U13</f>
        <v>833078.0</v>
      </c>
      <c r="V15">
        <f>V7+V13</f>
        <v>918272.0</v>
      </c>
      <c r="W15">
        <f>W7+W13</f>
        <v>1011158.0</v>
      </c>
      <c r="X15">
        <f>X7+X13</f>
        <v>1112354.0</v>
      </c>
      <c r="Y15">
        <f>Y7+Y13</f>
        <v>1222426.0</v>
      </c>
      <c r="Z15">
        <f>Z7+Z13</f>
        <v>1342178.0</v>
      </c>
      <c r="AA15">
        <f>SUM(C15:Z15)</f>
        <v>15488565.0</v>
      </c>
    </row>
    <row r="16">
      <c r="A16" t="inlineStr">
        <is>
          <t>EBITDA margin</t>
        </is>
      </c>
      <c r="C16">
        <f>IF(C5=0,0,ROUND(C15/C5,4))</f>
        <v>0.4412</v>
      </c>
      <c r="D16">
        <f>IF(D5=0,0,ROUND(D15/D5,4))</f>
        <v>0.4413</v>
      </c>
      <c r="E16">
        <f>IF(E5=0,0,ROUND(E15/E5,4))</f>
        <v>0.4426</v>
      </c>
      <c r="F16">
        <f>IF(F5=0,0,ROUND(F15/F5,4))</f>
        <v>0.445</v>
      </c>
      <c r="G16">
        <f>IF(G5=0,0,ROUND(G15/G5,4))</f>
        <v>0.4482</v>
      </c>
      <c r="H16">
        <f>IF(H5=0,0,ROUND(H15/H5,4))</f>
        <v>0.4521</v>
      </c>
      <c r="I16">
        <f>IF(I5=0,0,ROUND(I15/I5,4))</f>
        <v>0.4566</v>
      </c>
      <c r="J16">
        <f>IF(J5=0,0,ROUND(J15/J5,4))</f>
        <v>0.4616</v>
      </c>
      <c r="K16">
        <f>IF(K5=0,0,ROUND(K15/K5,4))</f>
        <v>0.3257</v>
      </c>
      <c r="L16">
        <f>IF(L5=0,0,ROUND(L15/L5,4))</f>
        <v>0.3353</v>
      </c>
      <c r="M16">
        <f>IF(M5=0,0,ROUND(M15/M5,4))</f>
        <v>0.3453</v>
      </c>
      <c r="N16">
        <f>IF(N5=0,0,ROUND(N15/N5,4))</f>
        <v>0.3557</v>
      </c>
      <c r="O16">
        <f>IF(O5=0,0,ROUND(O15/O5,4))</f>
        <v>0.3662</v>
      </c>
      <c r="P16">
        <f>IF(P5=0,0,ROUND(P15/P5,4))</f>
        <v>0.3768</v>
      </c>
      <c r="Q16">
        <f>IF(Q5=0,0,ROUND(Q15/Q5,4))</f>
        <v>0.3876</v>
      </c>
      <c r="R16">
        <f>IF(R5=0,0,ROUND(R15/R5,4))</f>
        <v>0.3983</v>
      </c>
      <c r="S16">
        <f>IF(S5=0,0,ROUND(S15/S5,4))</f>
        <v>0.4089</v>
      </c>
      <c r="T16">
        <f>IF(T5=0,0,ROUND(T15/T5,4))</f>
        <v>0.4195</v>
      </c>
      <c r="U16">
        <f>IF(U5=0,0,ROUND(U15/U5,4))</f>
        <v>0.4299</v>
      </c>
      <c r="V16">
        <f>IF(V5=0,0,ROUND(V15/V5,4))</f>
        <v>0.4402</v>
      </c>
      <c r="W16">
        <f>IF(W5=0,0,ROUND(W15/W5,4))</f>
        <v>0.4502</v>
      </c>
      <c r="X16">
        <f>IF(X5=0,0,ROUND(X15/X5,4))</f>
        <v>0.46</v>
      </c>
      <c r="Y16">
        <f>IF(Y5=0,0,ROUND(Y15/Y5,4))</f>
        <v>0.4696</v>
      </c>
      <c r="Z16">
        <f>IF(Z5=0,0,ROUND(Z15/Z5,4))</f>
        <v>0.4789</v>
      </c>
    </row>
    <row r="18">
      <c r="A18" t="inlineStr">
        <is>
          <t>Cumulative EBITDA</t>
        </is>
      </c>
      <c r="C18">
        <f>C15</f>
        <v>378468.0</v>
      </c>
      <c r="D18">
        <f>C18+D15</f>
        <v>786011.0</v>
      </c>
      <c r="E18">
        <f>D18+E15</f>
        <v>1226085.0</v>
      </c>
      <c r="F18">
        <f>E18+F15</f>
        <v>1702416.0</v>
      </c>
      <c r="G18">
        <f>F18+G15</f>
        <v>2218887.0</v>
      </c>
      <c r="H18">
        <f>G18+H15</f>
        <v>2779688.0</v>
      </c>
      <c r="I18">
        <f>H18+I15</f>
        <v>3389446.0</v>
      </c>
      <c r="J18">
        <f>I18+J15</f>
        <v>4053032.0</v>
      </c>
      <c r="K18">
        <f>J18+K15</f>
        <v>4354881.0</v>
      </c>
      <c r="L18">
        <f>K18+L15</f>
        <v>4689403.0</v>
      </c>
      <c r="M18">
        <f>L18+M15</f>
        <v>5060329.0</v>
      </c>
      <c r="N18">
        <f>M18+N15</f>
        <v>5471681.0</v>
      </c>
      <c r="O18">
        <f>N18+O15</f>
        <v>5927560.0</v>
      </c>
      <c r="P18">
        <f>O18+P15</f>
        <v>6432580.0</v>
      </c>
      <c r="Q18">
        <f>P18+Q15</f>
        <v>6991731.0</v>
      </c>
      <c r="R18">
        <f>Q18+R15</f>
        <v>7610270.0</v>
      </c>
      <c r="S18">
        <f>R18+S15</f>
        <v>8293989.0</v>
      </c>
      <c r="T18">
        <f>S18+T15</f>
        <v>9049099.0</v>
      </c>
      <c r="U18">
        <f>T18+U15</f>
        <v>9882177.0</v>
      </c>
      <c r="V18">
        <f>U18+V15</f>
        <v>10800449.0</v>
      </c>
      <c r="W18">
        <f>V18+W15</f>
        <v>11811607.0</v>
      </c>
      <c r="X18">
        <f>W18+X15</f>
        <v>12923961.0</v>
      </c>
      <c r="Y18">
        <f>X18+Y15</f>
        <v>14146387.0</v>
      </c>
      <c r="Z18">
        <f>Y18+Z15</f>
        <v>15488565.0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</t>
        </is>
      </c>
    </row>
    <row r="3">
      <c r="A3" t="inlineStr">
        <is>
          <t>Total revenue</t>
        </is>
      </c>
      <c r="B3">
        <f>Revenue!Z17</f>
        <v>36313378.0</v>
      </c>
    </row>
    <row r="4">
      <c r="A4" t="inlineStr">
        <is>
          <t>Total EBITDA</t>
        </is>
      </c>
      <c r="B4">
        <f>'P&amp;L'!AA15</f>
        <v>15488565.0</v>
      </c>
    </row>
    <row r="5">
      <c r="A5" t="inlineStr">
        <is>
          <t>Exit run rate EBITDA</t>
        </is>
      </c>
      <c r="B5">
        <f>SUM('P&amp;L'!O15:Z15)</f>
        <v>10016884.0</v>
      </c>
    </row>
    <row r="6">
      <c r="A6" t="inlineStr">
        <is>
          <t>EBITDA multiple</t>
        </is>
      </c>
      <c r="B6">
        <f>Assumptions!$B$21</f>
        <v>9.5</v>
      </c>
    </row>
    <row r="7">
      <c r="A7" t="inlineStr">
        <is>
          <t>Enterprise value</t>
        </is>
      </c>
      <c r="B7">
        <f>ROUND(B5*B6,0)</f>
        <v>95160398.0</v>
      </c>
    </row>
    <row r="8">
      <c r="A8" t="inlineStr">
        <is>
          <t>Net debt</t>
        </is>
      </c>
      <c r="B8">
        <f>Assumptions!$B$22</f>
        <v>3550000.0</v>
      </c>
    </row>
    <row r="9">
      <c r="A9" t="inlineStr">
        <is>
          <t>Equity value</t>
        </is>
      </c>
      <c r="B9">
        <f>B7-B8</f>
        <v>91610398.0</v>
      </c>
    </row>
    <row r="11">
      <c r="A11" t="inlineStr">
        <is>
          <t>Average monthly EBITDA</t>
        </is>
      </c>
      <c r="B11">
        <f>AVERAGE('P&amp;L'!C15:Z15)</f>
        <v>645356.875</v>
      </c>
    </row>
    <row r="12">
      <c r="A12" t="inlineStr">
        <is>
          <t>Best month</t>
        </is>
      </c>
      <c r="B12">
        <f>MAX('P&amp;L'!C15:Z15)</f>
        <v>1342178.0</v>
      </c>
    </row>
    <row r="13">
      <c r="A13" t="inlineStr">
        <is>
          <t>Worst month</t>
        </is>
      </c>
      <c r="B13">
        <f>MIN('P&amp;L'!C15:Z15)</f>
        <v>301849.0</v>
      </c>
    </row>
    <row r="14">
      <c r="A14" t="inlineStr">
        <is>
          <t>Sum of positive months</t>
        </is>
      </c>
      <c r="B14">
        <f>SUMIF('P&amp;L'!C15:Z15,"&gt;0")</f>
        <v>15488565.0</v>
      </c>
    </row>
    <row r="15">
      <c r="A15" t="inlineStr">
        <is>
          <t>Best to worst swing</t>
        </is>
      </c>
      <c r="B15">
        <f>ABS(B12-B13)</f>
        <v>1040329.0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materia</dc:creator>
  <dcterms:created xsi:type="dcterms:W3CDTF">1980-01-01T00:00:00Z</dcterms:created>
  <dcterms:modified xsi:type="dcterms:W3CDTF">1980-01-01T00:00:00Z</dcterms:modified>
  <cp:lastModifiedBy>materia</cp:lastModifiedBy>
</cp:coreProperties>
</file>