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8300</v>
      </c>
    </row>
    <row r="5">
      <c r="A5" t="inlineStr">
        <is>
          <t>Monthly new customer rate</t>
        </is>
      </c>
      <c r="B5" t="n">
        <v>0.0644</v>
      </c>
    </row>
    <row r="6">
      <c r="A6" t="inlineStr">
        <is>
          <t>Monthly churn rate</t>
        </is>
      </c>
      <c r="B6" t="n">
        <v>0.0164</v>
      </c>
    </row>
    <row r="7">
      <c r="A7" t="inlineStr">
        <is>
          <t>Opening ARPU</t>
        </is>
      </c>
      <c r="B7" t="n">
        <v>67.55</v>
      </c>
    </row>
    <row r="8">
      <c r="A8" t="inlineStr">
        <is>
          <t>Monthly ARPU uplift</t>
        </is>
      </c>
      <c r="B8" t="n">
        <v>0.006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0.02597</v>
      </c>
    </row>
    <row r="12">
      <c r="A12" t="inlineStr">
        <is>
          <t>Opening headcount</t>
        </is>
      </c>
      <c r="B12" t="n">
        <v>19</v>
      </c>
    </row>
    <row r="13">
      <c r="A13" t="inlineStr">
        <is>
          <t>New hires per month</t>
        </is>
      </c>
      <c r="B13" t="n">
        <v>2</v>
      </c>
    </row>
    <row r="14">
      <c r="A14" t="inlineStr">
        <is>
          <t>Average salary</t>
        </is>
      </c>
      <c r="B14" t="n">
        <v>77000</v>
      </c>
    </row>
    <row r="15">
      <c r="A15" t="inlineStr">
        <is>
          <t>Payroll tax rate</t>
        </is>
      </c>
      <c r="B15" t="n">
        <v>0.1209</v>
      </c>
    </row>
    <row r="16">
      <c r="A16" t="inlineStr">
        <is>
          <t>Marketing as share of revenue</t>
        </is>
      </c>
      <c r="B16" t="n">
        <v>0.0801</v>
      </c>
    </row>
    <row r="17">
      <c r="A17" t="inlineStr">
        <is>
          <t>Monthly overhead</t>
        </is>
      </c>
      <c r="B17" t="n">
        <v>29500</v>
      </c>
    </row>
    <row r="18">
      <c r="A18" t="inlineStr">
        <is>
          <t>Monthly overhead inflation</t>
        </is>
      </c>
      <c r="B18" t="n">
        <v>0.0058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12.8</v>
      </c>
    </row>
    <row r="22">
      <c r="A22" t="inlineStr">
        <is>
          <t>Net debt</t>
        </is>
      </c>
      <c r="B22" t="n">
        <v>2250000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8300.0</v>
      </c>
      <c r="D5">
        <f>C9</f>
        <v>8699.0</v>
      </c>
      <c r="E5">
        <f>D9</f>
        <v>9116.0</v>
      </c>
      <c r="F5">
        <f>E9</f>
        <v>9553.0</v>
      </c>
      <c r="G5">
        <f>F9</f>
        <v>10011.0</v>
      </c>
      <c r="H5">
        <f>G9</f>
        <v>10492.0</v>
      </c>
      <c r="I5">
        <f>H9</f>
        <v>10996.0</v>
      </c>
      <c r="J5">
        <f>I9</f>
        <v>11524.0</v>
      </c>
      <c r="K5">
        <f>J9</f>
        <v>12077.0</v>
      </c>
      <c r="L5">
        <f>K9</f>
        <v>12657.0</v>
      </c>
      <c r="M5">
        <f>L9</f>
        <v>13264.0</v>
      </c>
      <c r="N5">
        <f>M9</f>
        <v>13293.0</v>
      </c>
      <c r="O5">
        <f>N9</f>
        <v>13931.0</v>
      </c>
      <c r="P5">
        <f>O9</f>
        <v>14600.0</v>
      </c>
      <c r="Q5">
        <f>P9</f>
        <v>15301.0</v>
      </c>
      <c r="R5">
        <f>Q9</f>
        <v>16035.0</v>
      </c>
      <c r="S5">
        <f>R9</f>
        <v>16805.0</v>
      </c>
      <c r="T5">
        <f>S9</f>
        <v>17611.0</v>
      </c>
      <c r="U5">
        <f>T9</f>
        <v>18456.0</v>
      </c>
      <c r="V5">
        <f>U9</f>
        <v>19342.0</v>
      </c>
      <c r="W5">
        <f>V9</f>
        <v>20271.0</v>
      </c>
      <c r="X5">
        <f>W9</f>
        <v>21244.0</v>
      </c>
      <c r="Y5">
        <f>X9</f>
        <v>22264.0</v>
      </c>
      <c r="Z5">
        <f>Y9</f>
        <v>23333.0</v>
      </c>
    </row>
    <row r="6">
      <c r="A6" t="inlineStr">
        <is>
          <t>New customers</t>
        </is>
      </c>
      <c r="C6">
        <f>ROUND(C5*Assumptions!$B$5,0)</f>
        <v>535.0</v>
      </c>
      <c r="D6">
        <f>ROUND(D5*Assumptions!$B$5,0)</f>
        <v>560.0</v>
      </c>
      <c r="E6">
        <f>ROUND(E5*Assumptions!$B$5,0)</f>
        <v>587.0</v>
      </c>
      <c r="F6">
        <f>ROUND(F5*Assumptions!$B$5,0)</f>
        <v>615.0</v>
      </c>
      <c r="G6">
        <f>ROUND(G5*Assumptions!$B$5,0)</f>
        <v>645.0</v>
      </c>
      <c r="H6">
        <f>ROUND(H5*Assumptions!$B$5,0)</f>
        <v>676.0</v>
      </c>
      <c r="I6">
        <f>ROUND(I5*Assumptions!$B$5,0)</f>
        <v>708.0</v>
      </c>
      <c r="J6">
        <f>ROUND(J5*Assumptions!$B$5,0)</f>
        <v>742.0</v>
      </c>
      <c r="K6">
        <f>ROUND(K5*Assumptions!$B$5,0)</f>
        <v>778.0</v>
      </c>
      <c r="L6">
        <f>ROUND(L5*Assumptions!$B$5,0)</f>
        <v>815.0</v>
      </c>
      <c r="M6">
        <f>ROUND(M5*Assumptions!$B$5,0)</f>
        <v>854.0</v>
      </c>
      <c r="N6">
        <f>ROUND(N5*Assumptions!$B$5,0)</f>
        <v>856.0</v>
      </c>
      <c r="O6">
        <f>ROUND(O5*Assumptions!$B$5,0)</f>
        <v>897.0</v>
      </c>
      <c r="P6">
        <f>ROUND(P5*Assumptions!$B$5,0)</f>
        <v>940.0</v>
      </c>
      <c r="Q6">
        <f>ROUND(Q5*Assumptions!$B$5,0)</f>
        <v>985.0</v>
      </c>
      <c r="R6">
        <f>ROUND(R5*Assumptions!$B$5,0)</f>
        <v>1033.0</v>
      </c>
      <c r="S6">
        <f>ROUND(S5*Assumptions!$B$5,0)</f>
        <v>1082.0</v>
      </c>
      <c r="T6">
        <f>ROUND(T5*Assumptions!$B$5,0)</f>
        <v>1134.0</v>
      </c>
      <c r="U6">
        <f>ROUND(U5*Assumptions!$B$5,0)</f>
        <v>1189.0</v>
      </c>
      <c r="V6">
        <f>ROUND(V5*Assumptions!$B$5,0)</f>
        <v>1246.0</v>
      </c>
      <c r="W6">
        <f>ROUND(W5*Assumptions!$B$5,0)</f>
        <v>1305.0</v>
      </c>
      <c r="X6">
        <f>ROUND(X5*Assumptions!$B$5,0)</f>
        <v>1368.0</v>
      </c>
      <c r="Y6">
        <f>ROUND(Y5*Assumptions!$B$5,0)</f>
        <v>1434.0</v>
      </c>
      <c r="Z6">
        <f>ROUND(Z5*Assumptions!$B$5,0)</f>
        <v>1503.0</v>
      </c>
    </row>
    <row r="7">
      <c r="A7" t="inlineStr">
        <is>
          <t>Churned customers</t>
        </is>
      </c>
      <c r="C7">
        <f>-ROUND(C5*Assumptions!$B$6,0)</f>
        <v>-136.0</v>
      </c>
      <c r="D7">
        <f>-ROUND(D5*Assumptions!$B$6,0)</f>
        <v>-143.0</v>
      </c>
      <c r="E7">
        <f>-ROUND(E5*Assumptions!$B$6,0)</f>
        <v>-150.0</v>
      </c>
      <c r="F7">
        <f>-ROUND(F5*Assumptions!$B$6,0)</f>
        <v>-157.0</v>
      </c>
      <c r="G7">
        <f>-ROUND(G5*Assumptions!$B$6,0)</f>
        <v>-164.0</v>
      </c>
      <c r="H7">
        <f>-ROUND(H5*Assumptions!$B$6,0)</f>
        <v>-172.0</v>
      </c>
      <c r="I7">
        <f>-ROUND(I5*Assumptions!$B$6,0)</f>
        <v>-180.0</v>
      </c>
      <c r="J7">
        <f>-ROUND(J5*Assumptions!$B$6,0)</f>
        <v>-189.0</v>
      </c>
      <c r="K7">
        <f>-ROUND(K5*Assumptions!$B$6,0)</f>
        <v>-198.0</v>
      </c>
      <c r="L7">
        <f>-ROUND(L5*Assumptions!$B$6,0)</f>
        <v>-208.0</v>
      </c>
      <c r="M7">
        <f>-ROUND(M5*Assumptions!$B$6,0)</f>
        <v>-218.0</v>
      </c>
      <c r="N7">
        <f>-ROUND(N5*Assumptions!$B$6,0)</f>
        <v>-218.0</v>
      </c>
      <c r="O7">
        <f>-ROUND(O5*Assumptions!$B$6,0)</f>
        <v>-228.0</v>
      </c>
      <c r="P7">
        <f>-ROUND(P5*Assumptions!$B$6,0)</f>
        <v>-239.0</v>
      </c>
      <c r="Q7">
        <f>-ROUND(Q5*Assumptions!$B$6,0)</f>
        <v>-251.0</v>
      </c>
      <c r="R7">
        <f>-ROUND(R5*Assumptions!$B$6,0)</f>
        <v>-263.0</v>
      </c>
      <c r="S7">
        <f>-ROUND(S5*Assumptions!$B$6,0)</f>
        <v>-276.0</v>
      </c>
      <c r="T7">
        <f>-ROUND(T5*Assumptions!$B$6,0)</f>
        <v>-289.0</v>
      </c>
      <c r="U7">
        <f>-ROUND(U5*Assumptions!$B$6,0)</f>
        <v>-303.0</v>
      </c>
      <c r="V7">
        <f>-ROUND(V5*Assumptions!$B$6,0)</f>
        <v>-317.0</v>
      </c>
      <c r="W7">
        <f>-ROUND(W5*Assumptions!$B$6,0)</f>
        <v>-332.0</v>
      </c>
      <c r="X7">
        <f>-ROUND(X5*Assumptions!$B$6,0)</f>
        <v>-348.0</v>
      </c>
      <c r="Y7">
        <f>-ROUND(Y5*Assumptions!$B$6,0)</f>
        <v>-365.0</v>
      </c>
      <c r="Z7">
        <f>-ROUND(Z5*Assumptions!$B$6,0)</f>
        <v>-383.0</v>
      </c>
    </row>
    <row r="9">
      <c r="A9" t="inlineStr">
        <is>
          <t>Closing customers</t>
        </is>
      </c>
      <c r="C9">
        <f>C5+C6+C7</f>
        <v>8699.0</v>
      </c>
      <c r="D9">
        <f>D5+D6+D7</f>
        <v>9116.0</v>
      </c>
      <c r="E9">
        <f>E5+E6+E7</f>
        <v>9553.0</v>
      </c>
      <c r="F9">
        <f>F5+F6+F7</f>
        <v>10011.0</v>
      </c>
      <c r="G9">
        <f>G5+G6+G7</f>
        <v>10492.0</v>
      </c>
      <c r="H9">
        <f>H5+H6+H7</f>
        <v>10996.0</v>
      </c>
      <c r="I9">
        <f>I5+I6+I7</f>
        <v>11524.0</v>
      </c>
      <c r="J9">
        <f>J5+J6+J7</f>
        <v>12077.0</v>
      </c>
      <c r="K9">
        <f>K5+K6+K7</f>
        <v>12657.0</v>
      </c>
      <c r="L9">
        <f>L5+L6+L7</f>
        <v>13264.0</v>
      </c>
      <c r="M9">
        <f>L5+M6+M7</f>
        <v>13293.0</v>
      </c>
      <c r="N9">
        <f>N5+N6+N7</f>
        <v>13931.0</v>
      </c>
      <c r="O9">
        <f>O5+O6+O7</f>
        <v>14600.0</v>
      </c>
      <c r="P9">
        <f>P5+P6+P7</f>
        <v>15301.0</v>
      </c>
      <c r="Q9">
        <f>Q5+Q6+Q7</f>
        <v>16035.0</v>
      </c>
      <c r="R9">
        <f>R5+R6+R7</f>
        <v>16805.0</v>
      </c>
      <c r="S9">
        <f>S5+S6+S7</f>
        <v>17611.0</v>
      </c>
      <c r="T9">
        <f>T5+T6+T7</f>
        <v>18456.0</v>
      </c>
      <c r="U9">
        <f>U5+U6+U7</f>
        <v>19342.0</v>
      </c>
      <c r="V9">
        <f>V5+V6+V7</f>
        <v>20271.0</v>
      </c>
      <c r="W9">
        <f>W5+W6+W7</f>
        <v>21244.0</v>
      </c>
      <c r="X9">
        <f>X5+X6+X7</f>
        <v>22264.0</v>
      </c>
      <c r="Y9">
        <f>Y5+Y6+Y7</f>
        <v>23333.0</v>
      </c>
      <c r="Z9">
        <f>Z5+Z6+Z7</f>
        <v>24453.0</v>
      </c>
    </row>
    <row r="11">
      <c r="A11" t="inlineStr">
        <is>
          <t>ARPU</t>
        </is>
      </c>
      <c r="C11">
        <f>Assumptions!$B$7</f>
        <v>67.55</v>
      </c>
      <c r="D11">
        <f>ROUND(C11*(1+Assumptions!$B$8),2)</f>
        <v>67.96</v>
      </c>
      <c r="E11">
        <f>ROUND(D11*(1+Assumptions!$B$8),2)</f>
        <v>68.37</v>
      </c>
      <c r="F11">
        <f>ROUND(E11*(1+Assumptions!$B$8),2)</f>
        <v>68.78</v>
      </c>
      <c r="G11">
        <f>ROUND(F11*(1+Assumptions!$B$8),2)</f>
        <v>69.19</v>
      </c>
      <c r="H11">
        <f>ROUND(G11*(1+Assumptions!$B$8),2)</f>
        <v>69.61</v>
      </c>
      <c r="I11">
        <f>ROUND(H11*(1+Assumptions!$B$8),2)</f>
        <v>70.03</v>
      </c>
      <c r="J11">
        <f>ROUND(I11*(1+Assumptions!$B$8),2)</f>
        <v>70.45</v>
      </c>
      <c r="K11">
        <f>ROUND(J11*(1+Assumptions!$B$8),2)</f>
        <v>70.87</v>
      </c>
      <c r="L11">
        <f>ROUND(K11*(1+Assumptions!$B$8),2)</f>
        <v>71.3</v>
      </c>
      <c r="M11">
        <f>ROUND(L11*(1+Assumptions!$B$8),2)</f>
        <v>71.73</v>
      </c>
      <c r="N11">
        <f>ROUND(M11*(1+Assumptions!$B$8),2)</f>
        <v>72.16</v>
      </c>
      <c r="O11">
        <f>ROUND(N11*(1+Assumptions!$B$8),2)</f>
        <v>72.59</v>
      </c>
      <c r="P11">
        <f>ROUND(O11*(1+Assumptions!$B$8),2)</f>
        <v>73.03</v>
      </c>
      <c r="Q11">
        <f>ROUND(P11*(1+Assumptions!$B$8),2)</f>
        <v>73.47</v>
      </c>
      <c r="R11">
        <f>ROUND(Q11*(1+Assumptions!$B$8),2)</f>
        <v>73.91</v>
      </c>
      <c r="S11">
        <f>ROUND(R11*(1+Assumptions!$B$8),2)</f>
        <v>74.35</v>
      </c>
      <c r="T11">
        <f>ROUND(S11*(1+Assumptions!$B$8),2)</f>
        <v>74.8</v>
      </c>
      <c r="U11">
        <f>ROUND(T11*(1+Assumptions!$B$8),2)</f>
        <v>75.25</v>
      </c>
      <c r="V11">
        <f>ROUND(U11*(1+Assumptions!$B$8),2)</f>
        <v>75.7</v>
      </c>
      <c r="W11">
        <f>ROUND(V11*(1+Assumptions!$B$8),2)</f>
        <v>76.15</v>
      </c>
      <c r="X11">
        <f>ROUND(W11*(1+Assumptions!$B$8),2)</f>
        <v>76.61</v>
      </c>
      <c r="Y11">
        <f>ROUND(X11*(1+Assumptions!$B$8),2)</f>
        <v>77.07</v>
      </c>
      <c r="Z11">
        <f>ROUND(Y11*(1+Assumptions!$B$8),2)</f>
        <v>77.53</v>
      </c>
    </row>
    <row r="13">
      <c r="A13" t="inlineStr">
        <is>
          <t>Average customers</t>
        </is>
      </c>
      <c r="C13">
        <f>ROUND((C5+C9)/2,0)</f>
        <v>8500.0</v>
      </c>
      <c r="D13">
        <f>ROUND((D5+D9)/2,0)</f>
        <v>8908.0</v>
      </c>
      <c r="E13">
        <f>ROUND((E5+E9)/2,0)</f>
        <v>9335.0</v>
      </c>
      <c r="F13">
        <f>ROUND((F5+F9)/2,0)</f>
        <v>9782.0</v>
      </c>
      <c r="G13">
        <f>ROUND((G5+G9)/2,0)</f>
        <v>10252.0</v>
      </c>
      <c r="H13">
        <f>ROUND((H5+H9)/2,0)</f>
        <v>10744.0</v>
      </c>
      <c r="I13">
        <f>ROUND((I5+I9)/2,0)</f>
        <v>11260.0</v>
      </c>
      <c r="J13">
        <f>ROUND((J5+J9)/2,0)</f>
        <v>11801.0</v>
      </c>
      <c r="K13">
        <f>ROUND((K5+K9)/2,0)</f>
        <v>12367.0</v>
      </c>
      <c r="L13">
        <f>ROUND((L5+L9)/2,0)</f>
        <v>12961.0</v>
      </c>
      <c r="M13">
        <f>ROUND((M5+M9)/2,0)</f>
        <v>13279.0</v>
      </c>
      <c r="N13">
        <f>ROUND((N5+N9)/2,0)</f>
        <v>13612.0</v>
      </c>
      <c r="O13">
        <f>ROUND((O5+O9)/2,0)</f>
        <v>14266.0</v>
      </c>
      <c r="P13">
        <f>ROUND((P5+P9)/2,0)</f>
        <v>14951.0</v>
      </c>
      <c r="Q13">
        <f>ROUND((Q5+Q9)/2,0)</f>
        <v>15668.0</v>
      </c>
      <c r="R13">
        <f>ROUND((R5+R9)/2,0)</f>
        <v>16420.0</v>
      </c>
      <c r="S13">
        <f>ROUND((S5+S9)/2,0)</f>
        <v>17208.0</v>
      </c>
      <c r="T13">
        <f>ROUND((T5+T9)/2,0)</f>
        <v>18034.0</v>
      </c>
      <c r="U13">
        <f>ROUND((U5+U9)/2,0)</f>
        <v>18899.0</v>
      </c>
      <c r="V13">
        <f>ROUND((V5+V9)/2,0)</f>
        <v>19807.0</v>
      </c>
      <c r="W13">
        <f>ROUND((W5+W9)/2,0)</f>
        <v>20758.0</v>
      </c>
      <c r="X13">
        <f>ROUND((X5+X9)/2,0)</f>
        <v>21754.0</v>
      </c>
      <c r="Y13">
        <f>ROUND((Y5+Y9)/2,0)</f>
        <v>22799.0</v>
      </c>
      <c r="Z13">
        <f>ROUND((Z5+Z9)/2,0)</f>
        <v>23893.0</v>
      </c>
    </row>
    <row r="15">
      <c r="A15" t="inlineStr">
        <is>
          <t>Revenue</t>
        </is>
      </c>
      <c r="C15">
        <f>ROUND(C13*C11,0)</f>
        <v>574175.0</v>
      </c>
      <c r="D15">
        <f>ROUND(D13*D11,0)</f>
        <v>605388.0</v>
      </c>
      <c r="E15">
        <f>ROUND(E13*E11,0)</f>
        <v>638234.0</v>
      </c>
      <c r="F15">
        <f>ROUND(F13*F11,0)</f>
        <v>672806.0</v>
      </c>
      <c r="G15">
        <f>ROUND(G13*G11,0)</f>
        <v>709336.0</v>
      </c>
      <c r="H15">
        <f>ROUND(H13*H11,0)</f>
        <v>747890.0</v>
      </c>
      <c r="I15">
        <f>ROUND(I13*I11,0)</f>
        <v>788538.0</v>
      </c>
      <c r="J15">
        <f>ROUND(J13*J11,0)</f>
        <v>831380.0</v>
      </c>
      <c r="K15">
        <f>ROUND(K13*K11,0)</f>
        <v>876449.0</v>
      </c>
      <c r="L15">
        <f>ROUND(L13*L11,0)</f>
        <v>924119.0</v>
      </c>
      <c r="M15">
        <f>ROUND(M13*M11,0)</f>
        <v>952503.0</v>
      </c>
      <c r="N15">
        <f>ROUND(N13*N11,0)</f>
        <v>982242.0</v>
      </c>
      <c r="O15">
        <f>ROUND(O13*O11,0)</f>
        <v>1035569.0</v>
      </c>
      <c r="P15">
        <f>ROUND(P13*P11,0)</f>
        <v>1091872.0</v>
      </c>
      <c r="Q15">
        <f>ROUND(Q13*Q11,0)</f>
        <v>1151128.0</v>
      </c>
      <c r="R15">
        <f>ROUND(R13*R11,0)</f>
        <v>1213602.0</v>
      </c>
      <c r="S15">
        <f>ROUND(S13*S11,0)</f>
        <v>1279415.0</v>
      </c>
      <c r="T15">
        <f>ROUND(T13*T11,0)</f>
        <v>1348943.0</v>
      </c>
      <c r="U15">
        <f>ROUND(U13*U11,0)</f>
        <v>1422150.0</v>
      </c>
      <c r="V15">
        <f>ROUND(V13*V11,0)</f>
        <v>1499390.0</v>
      </c>
      <c r="W15">
        <f>ROUND(W13*W11,0)</f>
        <v>1580722.0</v>
      </c>
      <c r="X15">
        <f>ROUND(X13*X11,0)</f>
        <v>1666574.0</v>
      </c>
      <c r="Y15">
        <f>ROUND(Y13*Y11,0)</f>
        <v>1757119.0</v>
      </c>
      <c r="Z15">
        <f>ROUND(Z13*Z11,0)</f>
        <v>1852424.0</v>
      </c>
    </row>
    <row r="17">
      <c r="A17" t="inlineStr">
        <is>
          <t>Cumulative revenue</t>
        </is>
      </c>
      <c r="C17">
        <f>C15</f>
        <v>574175.0</v>
      </c>
      <c r="D17">
        <f>C17+D15</f>
        <v>1179563.0</v>
      </c>
      <c r="E17">
        <f>D17+E15</f>
        <v>1817797.0</v>
      </c>
      <c r="F17">
        <f>E17+F15</f>
        <v>2490603.0</v>
      </c>
      <c r="G17">
        <f>F17+G15</f>
        <v>3199939.0</v>
      </c>
      <c r="H17">
        <f>G17+H15</f>
        <v>3947829.0</v>
      </c>
      <c r="I17">
        <f>H17+I15</f>
        <v>4736367.0</v>
      </c>
      <c r="J17">
        <f>I17+J15</f>
        <v>5567747.0</v>
      </c>
      <c r="K17">
        <f>J17+K15</f>
        <v>6444196.0</v>
      </c>
      <c r="L17">
        <f>K17+L15</f>
        <v>7368315.0</v>
      </c>
      <c r="M17">
        <f>L17+M15</f>
        <v>8320818.0</v>
      </c>
      <c r="N17">
        <f>M17+N15</f>
        <v>9303060.0</v>
      </c>
      <c r="O17">
        <f>N17+O15</f>
        <v>10338629.0</v>
      </c>
      <c r="P17">
        <f>O17+P15</f>
        <v>11430501.0</v>
      </c>
      <c r="Q17">
        <f>P17+Q15</f>
        <v>12581629.0</v>
      </c>
      <c r="R17">
        <f>Q17+R15</f>
        <v>13795231.0</v>
      </c>
      <c r="S17">
        <f>R17+S15</f>
        <v>15074646.0</v>
      </c>
      <c r="T17">
        <f>S17+T15</f>
        <v>16423589.0</v>
      </c>
      <c r="U17">
        <f>T17+U15</f>
        <v>17845739.0</v>
      </c>
      <c r="V17">
        <f>U17+V15</f>
        <v>19345129.0</v>
      </c>
      <c r="W17">
        <f>V17+W15</f>
        <v>20925851.0</v>
      </c>
      <c r="X17">
        <f>W17+X15</f>
        <v>22592425.0</v>
      </c>
      <c r="Y17">
        <f>X17+Y15</f>
        <v>24349544.0</v>
      </c>
      <c r="Z17">
        <f>Y17+Z15</f>
        <v>26201968.0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19.0</v>
      </c>
      <c r="D5">
        <f>C5+Assumptions!$B$13</f>
        <v>21.0</v>
      </c>
      <c r="E5">
        <f>D5+Assumptions!$B$13</f>
        <v>23.0</v>
      </c>
      <c r="F5">
        <f>E5+Assumptions!$B$13</f>
        <v>25.0</v>
      </c>
      <c r="G5">
        <f>F5+Assumptions!$B$13</f>
        <v>27.0</v>
      </c>
      <c r="H5">
        <f>G5+Assumptions!$B$13</f>
        <v>29.0</v>
      </c>
      <c r="I5">
        <f>H5+Assumptions!$B$13</f>
        <v>31.0</v>
      </c>
      <c r="J5">
        <f>I5+Assumptions!$B$13</f>
        <v>33.0</v>
      </c>
      <c r="K5">
        <f>J5+Assumptions!$B$13</f>
        <v>35.0</v>
      </c>
      <c r="L5">
        <f>K5+Assumptions!$B$13</f>
        <v>37.0</v>
      </c>
      <c r="M5">
        <f>L5+Assumptions!$B$13</f>
        <v>39.0</v>
      </c>
      <c r="N5">
        <f>M5+Assumptions!$B$13</f>
        <v>41.0</v>
      </c>
      <c r="O5">
        <f>N5+Assumptions!$B$13</f>
        <v>43.0</v>
      </c>
      <c r="P5">
        <f>O5+Assumptions!$B$13</f>
        <v>45.0</v>
      </c>
      <c r="Q5">
        <f>P5+Assumptions!$B$13</f>
        <v>47.0</v>
      </c>
      <c r="R5">
        <f>Q5+Assumptions!$B$13</f>
        <v>49.0</v>
      </c>
      <c r="S5">
        <f>R5+Assumptions!$B$13</f>
        <v>51.0</v>
      </c>
      <c r="T5">
        <f>S5+Assumptions!$B$13</f>
        <v>53.0</v>
      </c>
      <c r="U5">
        <f>T5+Assumptions!$B$13</f>
        <v>55.0</v>
      </c>
      <c r="V5">
        <f>U5+Assumptions!$B$13</f>
        <v>57.0</v>
      </c>
      <c r="W5">
        <f>V5+Assumptions!$B$13</f>
        <v>59.0</v>
      </c>
      <c r="X5">
        <f>W5+Assumptions!$B$13</f>
        <v>61.0</v>
      </c>
      <c r="Y5">
        <f>X5+Assumptions!$B$13</f>
        <v>63.0</v>
      </c>
      <c r="Z5">
        <f>Y5+Assumptions!$B$13</f>
        <v>65.0</v>
      </c>
    </row>
    <row r="6">
      <c r="A6" t="inlineStr">
        <is>
          <t>Salary cost</t>
        </is>
      </c>
      <c r="C6">
        <f>ROUND(C5*Assumptions!$B$14/12,0)</f>
        <v>121917.0</v>
      </c>
      <c r="D6">
        <f>ROUND(D5*Assumptions!$B$14/12,0)</f>
        <v>134750.0</v>
      </c>
      <c r="E6">
        <f>ROUND(E5*Assumptions!$B$14/12,0)</f>
        <v>147583.0</v>
      </c>
      <c r="F6">
        <f>ROUND(F5*Assumptions!$B$14/12,0)</f>
        <v>160417.0</v>
      </c>
      <c r="G6">
        <f>ROUND(G5*Assumptions!$B$14/12,0)</f>
        <v>173250.0</v>
      </c>
      <c r="H6">
        <f>ROUND(H5*Assumptions!$B$14/12,0)</f>
        <v>186083.0</v>
      </c>
      <c r="I6">
        <f>ROUND(I5*Assumptions!$B$14/12,0)</f>
        <v>198917.0</v>
      </c>
      <c r="J6">
        <f>ROUND(J5*Assumptions!$B$14/12,0)</f>
        <v>211750.0</v>
      </c>
      <c r="K6">
        <f>ROUND(K5*Assumptions!$B$14/12,0)</f>
        <v>224583.0</v>
      </c>
      <c r="L6">
        <f>ROUND(L5*Assumptions!$B$14/12,0)</f>
        <v>237417.0</v>
      </c>
      <c r="M6">
        <f>ROUND(M5*Assumptions!$B$14/12,0)</f>
        <v>250250.0</v>
      </c>
      <c r="N6">
        <f>ROUND(N5*Assumptions!$B$14/12,0)</f>
        <v>263083.0</v>
      </c>
      <c r="O6">
        <f>ROUND(O5*Assumptions!$B$14/12,0)</f>
        <v>275917.0</v>
      </c>
      <c r="P6">
        <f>ROUND(P5*Assumptions!$B$14/12,0)</f>
        <v>288750.0</v>
      </c>
      <c r="Q6">
        <f>ROUND(Q5*Assumptions!$B$14/12,0)</f>
        <v>301583.0</v>
      </c>
      <c r="R6">
        <f>ROUND(R5*Assumptions!$B$14/12,0)</f>
        <v>314417.0</v>
      </c>
      <c r="S6">
        <f>ROUND(S5*Assumptions!$B$14/12,0)</f>
        <v>327250.0</v>
      </c>
      <c r="T6">
        <f>ROUND(T5*Assumptions!$B$14/12,0)</f>
        <v>340083.0</v>
      </c>
      <c r="U6">
        <f>ROUND(U5*Assumptions!$B$14/12,0)</f>
        <v>352917.0</v>
      </c>
      <c r="V6">
        <f>ROUND(V5*Assumptions!$B$14/12,0)</f>
        <v>365750.0</v>
      </c>
      <c r="W6">
        <f>ROUND(W5*Assumptions!$B$14/12,0)</f>
        <v>378583.0</v>
      </c>
      <c r="X6">
        <f>ROUND(X5*Assumptions!$B$14/12,0)</f>
        <v>391417.0</v>
      </c>
      <c r="Y6">
        <f>ROUND(Y5*Assumptions!$B$14/12,0)</f>
        <v>404250.0</v>
      </c>
      <c r="Z6">
        <f>ROUND(Z5*Assumptions!$B$14/12,0)</f>
        <v>417083.0</v>
      </c>
    </row>
    <row r="7">
      <c r="A7" t="inlineStr">
        <is>
          <t>Payroll tax</t>
        </is>
      </c>
      <c r="C7">
        <f>ROUND(C6*Assumptions!$B$15,0)</f>
        <v>14740.0</v>
      </c>
      <c r="D7">
        <f>ROUND(D6*Assumptions!$B$15,0)</f>
        <v>16291.0</v>
      </c>
      <c r="E7">
        <f>ROUND(E6*Assumptions!$B$15,0)</f>
        <v>17843.0</v>
      </c>
      <c r="F7">
        <f>ROUND(F6*Assumptions!$B$15,0)</f>
        <v>19394.0</v>
      </c>
      <c r="G7">
        <f>ROUND(G6*Assumptions!$B$15,0)</f>
        <v>20946.0</v>
      </c>
      <c r="H7">
        <f>ROUND(H6*Assumptions!$B$15,0)</f>
        <v>22497.0</v>
      </c>
      <c r="I7">
        <f>ROUND(I6*Assumptions!$B$15,0)</f>
        <v>24049.0</v>
      </c>
      <c r="J7">
        <f>ROUND(J6*Assumptions!$B$15,0)</f>
        <v>25601.0</v>
      </c>
      <c r="K7">
        <f>ROUND(K6*Assumptions!$B$15,0)</f>
        <v>27152.0</v>
      </c>
      <c r="L7">
        <f>ROUND(L6*Assumptions!$B$15,0)</f>
        <v>28704.0</v>
      </c>
      <c r="M7">
        <f>ROUND(M6*Assumptions!$B$15,0)</f>
        <v>30255.0</v>
      </c>
      <c r="N7">
        <f>ROUND(N6*Assumptions!$B$15,0)</f>
        <v>31807.0</v>
      </c>
      <c r="O7">
        <f>ROUND(O6*Assumptions!$B$15,0)</f>
        <v>33358.0</v>
      </c>
      <c r="P7">
        <f>ROUND(P6*Assumptions!$B$15,0)</f>
        <v>34910.0</v>
      </c>
      <c r="Q7">
        <f>ROUND(Q6*Assumptions!$B$15,0)</f>
        <v>36461.0</v>
      </c>
      <c r="R7">
        <f>ROUND(R6*Assumptions!$B$15,0)</f>
        <v>38013.0</v>
      </c>
      <c r="S7">
        <f>ROUND(S6*Assumptions!$B$15,0)</f>
        <v>39565.0</v>
      </c>
      <c r="T7">
        <f>ROUND(T6*Assumptions!$B$15,0)</f>
        <v>41116.0</v>
      </c>
      <c r="U7">
        <f>ROUND(U6*Assumptions!$B$15,0)</f>
        <v>42668.0</v>
      </c>
      <c r="V7">
        <f>ROUND(V6*Assumptions!$B$15,0)</f>
        <v>44219.0</v>
      </c>
      <c r="W7">
        <f>ROUND(W6*Assumptions!$B$15,0)</f>
        <v>45771.0</v>
      </c>
      <c r="X7">
        <f>ROUND(X6*Assumptions!$B$15,0)</f>
        <v>47322.0</v>
      </c>
      <c r="Y7">
        <f>ROUND(Y6*Assumptions!$B$15,0)</f>
        <v>48874.0</v>
      </c>
      <c r="Z7">
        <f>ROUND(Z6*Assumptions!$B$15,0)</f>
        <v>50425.0</v>
      </c>
    </row>
    <row r="8">
      <c r="A8" t="inlineStr">
        <is>
          <t>Total staff cost</t>
        </is>
      </c>
      <c r="C8">
        <f>C6+C7</f>
        <v>136657.0</v>
      </c>
      <c r="D8">
        <f>D6+D7</f>
        <v>151041.0</v>
      </c>
      <c r="E8">
        <f>E6+E7</f>
        <v>165426.0</v>
      </c>
      <c r="F8">
        <f>F6+F7</f>
        <v>179811.0</v>
      </c>
      <c r="G8">
        <f>G6+G7</f>
        <v>194196.0</v>
      </c>
      <c r="H8">
        <f>H6+H7</f>
        <v>208580.0</v>
      </c>
      <c r="I8">
        <f>I6+I7</f>
        <v>222966.0</v>
      </c>
      <c r="J8">
        <f>J6+J7</f>
        <v>237351.0</v>
      </c>
      <c r="K8">
        <f>K6+K7</f>
        <v>251735.0</v>
      </c>
      <c r="L8">
        <f>L6+L7</f>
        <v>266121.0</v>
      </c>
      <c r="M8">
        <f>M6+M7</f>
        <v>280505.0</v>
      </c>
      <c r="N8">
        <f>N6+N7</f>
        <v>294890.0</v>
      </c>
      <c r="O8">
        <f>O6+O7</f>
        <v>309275.0</v>
      </c>
      <c r="P8">
        <f>P6+P7</f>
        <v>323660.0</v>
      </c>
      <c r="Q8">
        <f>Q6+Q7</f>
        <v>338044.0</v>
      </c>
      <c r="R8">
        <f>R6+R7</f>
        <v>352430.0</v>
      </c>
      <c r="S8">
        <f>S6+S7</f>
        <v>366815.0</v>
      </c>
      <c r="T8">
        <f>T6+T7</f>
        <v>381199.0</v>
      </c>
      <c r="U8">
        <f>U6+U7</f>
        <v>395585.0</v>
      </c>
      <c r="V8">
        <f>V6+V7</f>
        <v>409969.0</v>
      </c>
      <c r="W8">
        <f>W6+W7</f>
        <v>424354.0</v>
      </c>
      <c r="X8">
        <f>X6+X7</f>
        <v>438739.0</v>
      </c>
      <c r="Y8">
        <f>Y6+Y7</f>
        <v>453124.0</v>
      </c>
      <c r="Z8">
        <f>Z6+Z7</f>
        <v>467508.0</v>
      </c>
    </row>
    <row r="10">
      <c r="A10" t="inlineStr">
        <is>
          <t>Cost of sales</t>
        </is>
      </c>
      <c r="C10">
        <f>ROUND(Revenue!C15*Assumptions!$B$11,0)</f>
        <v>14911.0</v>
      </c>
      <c r="D10">
        <f>ROUND(Revenue!D15*Assumptions!$B$11,0)</f>
        <v>15722.0</v>
      </c>
      <c r="E10">
        <f>ROUND(Revenue!E15*Assumptions!$B$11,0)</f>
        <v>16575.0</v>
      </c>
      <c r="F10">
        <f>ROUND(Revenue!F15*Assumptions!$B$11,0)</f>
        <v>17473.0</v>
      </c>
      <c r="G10">
        <f>ROUND(Revenue!G15*Assumptions!$B$11,0)</f>
        <v>18421.0</v>
      </c>
      <c r="H10">
        <f>ROUND(Revenue!H15*Assumptions!$B$11,0)</f>
        <v>19423.0</v>
      </c>
      <c r="I10">
        <f>ROUND(Revenue!I15*Assumptions!$B$11,0)</f>
        <v>20478.0</v>
      </c>
      <c r="J10">
        <f>ROUND(Revenue!J15*Assumptions!$B$11,0)</f>
        <v>21591.0</v>
      </c>
      <c r="K10">
        <f>ROUND(Revenue!K15*Assumptions!$B$11,0)</f>
        <v>22761.0</v>
      </c>
      <c r="L10">
        <f>ROUND(Revenue!L15*Assumptions!$B$11,0)</f>
        <v>23999.0</v>
      </c>
      <c r="M10">
        <f>ROUND(Revenue!M15*Assumptions!$B$11,0)</f>
        <v>24737.0</v>
      </c>
      <c r="N10">
        <f>ROUND(Revenue!N15*Assumptions!$B$11,0)</f>
        <v>25509.0</v>
      </c>
      <c r="O10">
        <f>ROUND(Revenue!O15*Assumptions!$B$11,0)</f>
        <v>26894.0</v>
      </c>
      <c r="P10">
        <f>ROUND(Revenue!P15*Assumptions!$B$11,0)</f>
        <v>28356.0</v>
      </c>
      <c r="Q10">
        <f>ROUND(Revenue!Q15*Assumptions!$B$11,0)</f>
        <v>29895.0</v>
      </c>
      <c r="R10">
        <f>ROUND(Revenue!R15*Assumptions!$B$11,0)</f>
        <v>31517.0</v>
      </c>
      <c r="S10">
        <f>ROUND(Revenue!S15*Assumptions!$B$11,0)</f>
        <v>33226.0</v>
      </c>
      <c r="T10">
        <f>ROUND(Revenue!T15*Assumptions!$B$11,0)</f>
        <v>35032.0</v>
      </c>
      <c r="U10">
        <f>ROUND(Revenue!U15*Assumptions!$B$11,0)</f>
        <v>36933.0</v>
      </c>
      <c r="V10">
        <f>ROUND(Revenue!V15*Assumptions!$B$11,0)</f>
        <v>38939.0</v>
      </c>
      <c r="W10">
        <f>ROUND(Revenue!W15*Assumptions!$B$11,0)</f>
        <v>41051.0</v>
      </c>
      <c r="X10">
        <f>ROUND(Revenue!X15*Assumptions!$B$11,0)</f>
        <v>43281.0</v>
      </c>
      <c r="Y10">
        <f>ROUND(Revenue!Y15*Assumptions!$B$11,0)</f>
        <v>45632.0</v>
      </c>
      <c r="Z10">
        <f>ROUND(Revenue!Z15*Assumptions!$B$11,0)</f>
        <v>48107.0</v>
      </c>
    </row>
    <row r="11">
      <c r="A11" t="inlineStr">
        <is>
          <t>Marketing</t>
        </is>
      </c>
      <c r="C11">
        <f>ROUND(Revenue!C15*Assumptions!$B$16,0)</f>
        <v>45991.0</v>
      </c>
      <c r="D11">
        <f>ROUND(Revenue!D15*Assumptions!$B$16,0)</f>
        <v>48492.0</v>
      </c>
      <c r="E11">
        <f>ROUND(Revenue!E15*Assumptions!$B$16,0)</f>
        <v>51123.0</v>
      </c>
      <c r="F11">
        <f>ROUND(Revenue!F15*Assumptions!$B$16,0)</f>
        <v>53892.0</v>
      </c>
      <c r="G11">
        <f>ROUND(Revenue!G15*Assumptions!$B$16,0)</f>
        <v>56818.0</v>
      </c>
      <c r="H11">
        <f>ROUND(Revenue!H15*Assumptions!$B$16,0)</f>
        <v>59906.0</v>
      </c>
      <c r="I11">
        <f>ROUND(Revenue!I15*Assumptions!$B$16,0)</f>
        <v>63162.0</v>
      </c>
      <c r="J11">
        <f>ROUND(Revenue!J15*Assumptions!$B$16,0)</f>
        <v>66594.0</v>
      </c>
      <c r="K11">
        <f>ROUND(Revenue!K15*Assumptions!$B$16,0)</f>
        <v>70204.0</v>
      </c>
      <c r="L11">
        <f>ROUND(Revenue!L15*Assumptions!$B$16,0)</f>
        <v>74022.0</v>
      </c>
      <c r="M11">
        <f>ROUND(Revenue!M15*Assumptions!$B$16,0)</f>
        <v>76295.0</v>
      </c>
      <c r="N11">
        <f>ROUND(Revenue!N15*Assumptions!$B$16,0)</f>
        <v>78678.0</v>
      </c>
      <c r="O11">
        <f>ROUND(Revenue!O15*Assumptions!$B$16,0)</f>
        <v>82949.0</v>
      </c>
      <c r="P11">
        <f>ROUND(Revenue!P15*Assumptions!$B$16,0)</f>
        <v>87459.0</v>
      </c>
      <c r="Q11">
        <f>ROUND(Revenue!Q15*Assumptions!$B$16,0)</f>
        <v>92205.0</v>
      </c>
      <c r="R11">
        <f>ROUND(Revenue!R15*Assumptions!$B$16,0)</f>
        <v>97210.0</v>
      </c>
      <c r="S11">
        <f>ROUND(Revenue!S15*Assumptions!$B$16,0)</f>
        <v>102481.0</v>
      </c>
      <c r="T11">
        <f>ROUND(Revenue!T15*Assumptions!$B$16,0)</f>
        <v>108050.0</v>
      </c>
      <c r="U11">
        <f>ROUND(Revenue!U15*Assumptions!$B$16,0)</f>
        <v>113914.0</v>
      </c>
      <c r="V11">
        <f>ROUND(Revenue!V15*Assumptions!$B$16,0)</f>
        <v>120101.0</v>
      </c>
      <c r="W11">
        <f>ROUND(Revenue!W15*Assumptions!$B$16,0)</f>
        <v>126616.0</v>
      </c>
      <c r="X11">
        <f>ROUND(Revenue!X15*Assumptions!$B$16,0)</f>
        <v>133493.0</v>
      </c>
      <c r="Y11">
        <f>ROUND(Revenue!Y15*Assumptions!$B$16,0)</f>
        <v>140745.0</v>
      </c>
      <c r="Z11">
        <f>ROUND(Revenue!Z15*Assumptions!$B$16,0)</f>
        <v>148379.0</v>
      </c>
    </row>
    <row r="12">
      <c r="A12" t="inlineStr">
        <is>
          <t>Overhead</t>
        </is>
      </c>
      <c r="C12">
        <f>ROUND(Assumptions!$B$17,0)</f>
        <v>29500.0</v>
      </c>
      <c r="D12">
        <f>ROUND(C12*(1+Assumptions!$B$18),0)</f>
        <v>29671.0</v>
      </c>
      <c r="E12">
        <f>ROUND(D12*(1+Assumptions!$B$18),0)</f>
        <v>29843.0</v>
      </c>
      <c r="F12">
        <f>ROUND(E12*(1+Assumptions!$B$18),0)</f>
        <v>30016.0</v>
      </c>
      <c r="G12">
        <f>ROUND(F12*(1+Assumptions!$B$18),0)</f>
        <v>30190.0</v>
      </c>
      <c r="H12">
        <f>ROUND(G12*(1+Assumptions!$B$18),0)</f>
        <v>30365.0</v>
      </c>
      <c r="I12">
        <f>ROUND(H12*(1+Assumptions!$B$18),0)</f>
        <v>30541.0</v>
      </c>
      <c r="J12">
        <f>ROUND(I12*(1+Assumptions!$B$18),0)</f>
        <v>30718.0</v>
      </c>
      <c r="K12">
        <f>ROUND(J12*(1+Assumptions!$B$18),0)</f>
        <v>30896.0</v>
      </c>
      <c r="L12">
        <f>ROUND(K12*(1+Assumptions!$B$18),0)</f>
        <v>31075.0</v>
      </c>
      <c r="M12">
        <f>ROUND(L12*(1+Assumptions!$B$18),0)</f>
        <v>31255.0</v>
      </c>
      <c r="N12">
        <f>ROUND(M12*(1+Assumptions!$B$18),0)</f>
        <v>31436.0</v>
      </c>
      <c r="O12">
        <f>ROUND(N12*(1+Assumptions!$B$18),0)</f>
        <v>31618.0</v>
      </c>
      <c r="P12">
        <f>ROUND(O12*(1+Assumptions!$B$18),0)</f>
        <v>31801.0</v>
      </c>
      <c r="Q12">
        <f>ROUND(P12*(1+Assumptions!$B$18),0)</f>
        <v>31985.0</v>
      </c>
      <c r="R12">
        <f>ROUND(Q12*(1+Assumptions!$B$18),0)</f>
        <v>32171.0</v>
      </c>
      <c r="S12">
        <f>ROUND(R12*(1+Assumptions!$B$18),0)</f>
        <v>32358.0</v>
      </c>
      <c r="T12">
        <f>ROUND(S12*(1+Assumptions!$B$18),0)</f>
        <v>32546.0</v>
      </c>
      <c r="U12">
        <f>ROUND(T12*(1+Assumptions!$B$18),0)</f>
        <v>32735.0</v>
      </c>
      <c r="V12">
        <f>ROUND(U12*(1+Assumptions!$B$18),0)</f>
        <v>32925.0</v>
      </c>
      <c r="W12">
        <f>ROUND(V12*(1+Assumptions!$B$18),0)</f>
        <v>33116.0</v>
      </c>
      <c r="X12">
        <f>ROUND(W12*(1+Assumptions!$B$18),0)</f>
        <v>33308.0</v>
      </c>
      <c r="Y12">
        <f>ROUND(X12*(1+Assumptions!$B$18),0)</f>
        <v>33501.0</v>
      </c>
      <c r="Z12">
        <f>ROUND(Y12*(1+Assumptions!$B$18),0)</f>
        <v>33695.0</v>
      </c>
    </row>
    <row r="14">
      <c r="A14" t="inlineStr">
        <is>
          <t>Total costs</t>
        </is>
      </c>
      <c r="C14">
        <f>C8+C10+C11+C12</f>
        <v>227059.0</v>
      </c>
      <c r="D14">
        <f>D8+D10+D11+D12</f>
        <v>244926.0</v>
      </c>
      <c r="E14">
        <f>E8+E10+E11+E12</f>
        <v>262967.0</v>
      </c>
      <c r="F14">
        <f>F8+F10+F11+F12</f>
        <v>281192.0</v>
      </c>
      <c r="G14">
        <f>G8+G10+G11+G12</f>
        <v>299625.0</v>
      </c>
      <c r="H14">
        <f>H8+H10+H11+H12</f>
        <v>318274.0</v>
      </c>
      <c r="I14">
        <f>I8+I10+I11+I12</f>
        <v>337147.0</v>
      </c>
      <c r="J14">
        <f>J8+J10+J11+J12</f>
        <v>356254.0</v>
      </c>
      <c r="K14">
        <f>K8+K10+K11+K12</f>
        <v>375596.0</v>
      </c>
      <c r="L14">
        <f>L8+L10+L11+L12</f>
        <v>395217.0</v>
      </c>
      <c r="M14">
        <f>M8+M10+M11+M12</f>
        <v>412792.0</v>
      </c>
      <c r="N14">
        <f>N8+N10+N11+N12</f>
        <v>430513.0</v>
      </c>
      <c r="O14">
        <f>O8+O10+O11+O12</f>
        <v>450736.0</v>
      </c>
      <c r="P14">
        <f>P8+P10+P11+P12</f>
        <v>471276.0</v>
      </c>
      <c r="Q14">
        <f>Q8+Q10+Q11+Q12</f>
        <v>492129.0</v>
      </c>
      <c r="R14">
        <f>R8+R10+R11+R12</f>
        <v>513328.0</v>
      </c>
      <c r="S14">
        <f>S8+S10+S11+S12</f>
        <v>534880.0</v>
      </c>
      <c r="T14">
        <f>T8+T10+T11+T12</f>
        <v>556827.0</v>
      </c>
      <c r="U14">
        <f>U8+U10+U11+U12</f>
        <v>579167.0</v>
      </c>
      <c r="V14">
        <f>V8+V10+V11+V12</f>
        <v>601934.0</v>
      </c>
      <c r="W14">
        <f>W8+W10+W11+W12</f>
        <v>625137.0</v>
      </c>
      <c r="X14">
        <f>X8+X10+X11+X12</f>
        <v>648821.0</v>
      </c>
      <c r="Y14">
        <f>Y8+Y10+Y11+Y12</f>
        <v>673002.0</v>
      </c>
      <c r="Z14">
        <f>Z8+Z10+Z11+Z12</f>
        <v>697689.0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574175.0</v>
      </c>
      <c r="D5">
        <f>Revenue!D15</f>
        <v>605388.0</v>
      </c>
      <c r="E5">
        <f>Revenue!E15</f>
        <v>638234.0</v>
      </c>
      <c r="F5">
        <f>Revenue!F15</f>
        <v>672806.0</v>
      </c>
      <c r="G5">
        <f>Revenue!G15</f>
        <v>709336.0</v>
      </c>
      <c r="H5">
        <f>Revenue!H15</f>
        <v>747890.0</v>
      </c>
      <c r="I5">
        <f>Revenue!I15</f>
        <v>788538.0</v>
      </c>
      <c r="J5">
        <f>Revenue!J15</f>
        <v>831380.0</v>
      </c>
      <c r="K5">
        <f>Revenue!K15</f>
        <v>876449.0</v>
      </c>
      <c r="L5">
        <f>Revenue!L15</f>
        <v>924119.0</v>
      </c>
      <c r="M5">
        <f>Revenue!M15</f>
        <v>952503.0</v>
      </c>
      <c r="N5">
        <f>Revenue!N15</f>
        <v>982242.0</v>
      </c>
      <c r="O5">
        <f>Revenue!O15</f>
        <v>1035569.0</v>
      </c>
      <c r="P5">
        <f>Revenue!P15</f>
        <v>1091872.0</v>
      </c>
      <c r="Q5">
        <f>Revenue!Q15</f>
        <v>1151128.0</v>
      </c>
      <c r="R5">
        <f>Revenue!R15</f>
        <v>1213602.0</v>
      </c>
      <c r="S5">
        <f>Revenue!S15</f>
        <v>1279415.0</v>
      </c>
      <c r="T5">
        <f>Revenue!T15</f>
        <v>1348943.0</v>
      </c>
      <c r="U5">
        <f>Revenue!U15</f>
        <v>1422150.0</v>
      </c>
      <c r="V5">
        <f>Revenue!V15</f>
        <v>1499390.0</v>
      </c>
      <c r="W5">
        <f>Revenue!W15</f>
        <v>1580722.0</v>
      </c>
      <c r="X5">
        <f>Revenue!X15</f>
        <v>1666574.0</v>
      </c>
      <c r="Y5">
        <f>Revenue!Y15</f>
        <v>1757119.0</v>
      </c>
      <c r="Z5">
        <f>Revenue!Z15</f>
        <v>1852424.0</v>
      </c>
      <c r="AA5">
        <f>SUM(C5:Z5)</f>
        <v>26201968.0</v>
      </c>
    </row>
    <row r="6">
      <c r="A6" t="inlineStr">
        <is>
          <t>Cost of sales</t>
        </is>
      </c>
      <c r="C6">
        <f>-Costs!C10</f>
        <v>-14911.0</v>
      </c>
      <c r="D6">
        <f>-Costs!D10</f>
        <v>-15722.0</v>
      </c>
      <c r="E6">
        <f>-Costs!E10</f>
        <v>-16575.0</v>
      </c>
      <c r="F6">
        <f>-Costs!F10</f>
        <v>-17473.0</v>
      </c>
      <c r="G6">
        <f>-Costs!G10</f>
        <v>-18421.0</v>
      </c>
      <c r="H6">
        <f>-Costs!H10</f>
        <v>-19423.0</v>
      </c>
      <c r="I6">
        <f>-Costs!I10</f>
        <v>-20478.0</v>
      </c>
      <c r="J6">
        <f>-Costs!J10</f>
        <v>-21591.0</v>
      </c>
      <c r="K6">
        <f>-Costs!K10</f>
        <v>-22761.0</v>
      </c>
      <c r="L6">
        <f>-Costs!L10</f>
        <v>-23999.0</v>
      </c>
      <c r="M6">
        <f>-Costs!M10</f>
        <v>-24737.0</v>
      </c>
      <c r="N6">
        <f>-Costs!N10</f>
        <v>-25509.0</v>
      </c>
      <c r="O6">
        <f>-Costs!O10</f>
        <v>-26894.0</v>
      </c>
      <c r="P6">
        <f>-Costs!P10</f>
        <v>-28356.0</v>
      </c>
      <c r="Q6">
        <f>-Costs!Q10</f>
        <v>-29895.0</v>
      </c>
      <c r="R6">
        <f>-Costs!R10</f>
        <v>-31517.0</v>
      </c>
      <c r="S6">
        <f>-Costs!S10</f>
        <v>-33226.0</v>
      </c>
      <c r="T6">
        <f>-Costs!T10</f>
        <v>-35032.0</v>
      </c>
      <c r="U6">
        <f>-Costs!U10</f>
        <v>-36933.0</v>
      </c>
      <c r="V6">
        <f>-Costs!V10</f>
        <v>-38939.0</v>
      </c>
      <c r="W6">
        <f>-Costs!W10</f>
        <v>-41051.0</v>
      </c>
      <c r="X6">
        <f>-Costs!X10</f>
        <v>-43281.0</v>
      </c>
      <c r="Y6">
        <f>-Costs!Y10</f>
        <v>-45632.0</v>
      </c>
      <c r="Z6">
        <f>-Costs!Z10</f>
        <v>-48107.0</v>
      </c>
      <c r="AA6">
        <f>SUM(C6:Z6)</f>
        <v>-680463.0</v>
      </c>
    </row>
    <row r="7">
      <c r="A7" t="inlineStr">
        <is>
          <t>Gross profit</t>
        </is>
      </c>
      <c r="C7">
        <f>C5+C6</f>
        <v>559264.0</v>
      </c>
      <c r="D7">
        <f>D5+D6</f>
        <v>589666.0</v>
      </c>
      <c r="E7">
        <f>E5+E6</f>
        <v>621659.0</v>
      </c>
      <c r="F7">
        <f>F5+F6</f>
        <v>655333.0</v>
      </c>
      <c r="G7">
        <f>G5+G6</f>
        <v>690915.0</v>
      </c>
      <c r="H7">
        <f>H5+H6</f>
        <v>728467.0</v>
      </c>
      <c r="I7">
        <f>I5+I6</f>
        <v>768060.0</v>
      </c>
      <c r="J7">
        <f>J5+J6</f>
        <v>809789.0</v>
      </c>
      <c r="K7">
        <f>K5+K6</f>
        <v>853688.0</v>
      </c>
      <c r="L7">
        <f>L5+L6</f>
        <v>900120.0</v>
      </c>
      <c r="M7">
        <f>M5+M6</f>
        <v>927766.0</v>
      </c>
      <c r="N7">
        <f>N5+N6</f>
        <v>956733.0</v>
      </c>
      <c r="O7">
        <f>O5+O6</f>
        <v>1008675.0</v>
      </c>
      <c r="P7">
        <f>P5+P6</f>
        <v>1063516.0</v>
      </c>
      <c r="Q7">
        <f>Q5+Q6</f>
        <v>1121233.0</v>
      </c>
      <c r="R7">
        <f>R5+R6</f>
        <v>1182085.0</v>
      </c>
      <c r="S7">
        <f>S5+S6</f>
        <v>1246189.0</v>
      </c>
      <c r="T7">
        <f>T5+T6</f>
        <v>1313911.0</v>
      </c>
      <c r="U7">
        <f>U5+U6</f>
        <v>1385217.0</v>
      </c>
      <c r="V7">
        <f>V5+V6</f>
        <v>1460451.0</v>
      </c>
      <c r="W7">
        <f>W5+W6</f>
        <v>1539671.0</v>
      </c>
      <c r="X7">
        <f>X5+X6</f>
        <v>1623293.0</v>
      </c>
      <c r="Y7">
        <f>Y5+Y6</f>
        <v>1711487.0</v>
      </c>
      <c r="Z7">
        <f>Z5+Z6</f>
        <v>1804317.0</v>
      </c>
      <c r="AA7">
        <f>SUM(C7:Z7)</f>
        <v>25521505.0</v>
      </c>
    </row>
    <row r="8">
      <c r="A8" t="inlineStr">
        <is>
          <t>Gross margin</t>
        </is>
      </c>
      <c r="C8">
        <f>IF(C5=0,0,ROUND(C7/C5,4))</f>
        <v>0.974</v>
      </c>
      <c r="D8">
        <f>IF(D5=0,0,ROUND(D7/D5,4))</f>
        <v>0.974</v>
      </c>
      <c r="E8">
        <f>IF(E5=0,0,ROUND(E7/E5,4))</f>
        <v>0.974</v>
      </c>
      <c r="F8">
        <f>IF(F5=0,0,ROUND(F7/F5,4))</f>
        <v>0.974</v>
      </c>
      <c r="G8">
        <f>IF(G5=0,0,ROUND(G7/G5,4))</f>
        <v>0.974</v>
      </c>
      <c r="H8">
        <f>IF(H5=0,0,ROUND(H7/H5,4))</f>
        <v>0.974</v>
      </c>
      <c r="I8">
        <f>IF(I5=0,0,ROUND(I7/I5,4))</f>
        <v>0.974</v>
      </c>
      <c r="J8">
        <f>IF(J5=0,0,ROUND(J7/J5,4))</f>
        <v>0.974</v>
      </c>
      <c r="K8">
        <f>IF(K5=0,0,ROUND(K7/K5,4))</f>
        <v>0.974</v>
      </c>
      <c r="L8">
        <f>IF(L5=0,0,ROUND(L7/L5,4))</f>
        <v>0.974</v>
      </c>
      <c r="M8">
        <f>IF(M5=0,0,ROUND(M7/M5,4))</f>
        <v>0.974</v>
      </c>
      <c r="N8">
        <f>IF(N5=0,0,ROUND(N7/N5,4))</f>
        <v>0.974</v>
      </c>
      <c r="O8">
        <f>IF(O5=0,0,ROUND(O7/O5,4))</f>
        <v>0.974</v>
      </c>
      <c r="P8">
        <f>IF(P5=0,0,ROUND(P7/P5,4))</f>
        <v>0.974</v>
      </c>
      <c r="Q8">
        <f>IF(Q5=0,0,ROUND(Q7/Q5,4))</f>
        <v>0.974</v>
      </c>
      <c r="R8">
        <f>IF(R5=0,0,ROUND(R7/R5,4))</f>
        <v>0.974</v>
      </c>
      <c r="S8">
        <f>IF(S5=0,0,ROUND(S7/S5,4))</f>
        <v>0.974</v>
      </c>
      <c r="T8">
        <f>IF(T5=0,0,ROUND(T7/T5,4))</f>
        <v>0.974</v>
      </c>
      <c r="U8">
        <f>IF(U5=0,0,ROUND(U7/U5,4))</f>
        <v>0.974</v>
      </c>
      <c r="V8">
        <f>IF(V5=0,0,ROUND(V7/V5,4))</f>
        <v>0.974</v>
      </c>
      <c r="W8">
        <f>IF(W5=0,0,ROUND(W7/W5,4))</f>
        <v>0.974</v>
      </c>
      <c r="X8">
        <f>IF(X5=0,0,ROUND(X7/X5,4))</f>
        <v>0.974</v>
      </c>
      <c r="Y8">
        <f>IF(Y5=0,0,ROUND(Y7/Y5,4))</f>
        <v>0.974</v>
      </c>
      <c r="Z8">
        <f>IF(Z5=0,0,ROUND(Z7/Z5,4))</f>
        <v>0.974</v>
      </c>
    </row>
    <row r="10">
      <c r="A10" t="inlineStr">
        <is>
          <t>Staff costs</t>
        </is>
      </c>
      <c r="C10">
        <f>-Costs!C8</f>
        <v>-136657.0</v>
      </c>
      <c r="D10">
        <f>-Costs!D8</f>
        <v>-151041.0</v>
      </c>
      <c r="E10">
        <f>-Costs!E8</f>
        <v>-165426.0</v>
      </c>
      <c r="F10">
        <f>-Costs!F8</f>
        <v>-179811.0</v>
      </c>
      <c r="G10">
        <f>-Costs!G8</f>
        <v>-194196.0</v>
      </c>
      <c r="H10">
        <f>-Costs!H8</f>
        <v>-208580.0</v>
      </c>
      <c r="I10">
        <f>-Costs!I8</f>
        <v>-222966.0</v>
      </c>
      <c r="J10">
        <f>-Costs!J8</f>
        <v>-237351.0</v>
      </c>
      <c r="K10">
        <f>-Costs!K8</f>
        <v>-251735.0</v>
      </c>
      <c r="L10">
        <f>-Costs!L8</f>
        <v>-266121.0</v>
      </c>
      <c r="M10">
        <f>-Costs!M8</f>
        <v>-280505.0</v>
      </c>
      <c r="N10">
        <f>-Costs!N8</f>
        <v>-294890.0</v>
      </c>
      <c r="O10">
        <f>-Costs!O8</f>
        <v>-309275.0</v>
      </c>
      <c r="P10">
        <f>-Costs!P8</f>
        <v>-323660.0</v>
      </c>
      <c r="Q10">
        <f>-Costs!Q8</f>
        <v>-338044.0</v>
      </c>
      <c r="R10">
        <f>-Costs!R8</f>
        <v>-352430.0</v>
      </c>
      <c r="S10">
        <f>-Costs!S8</f>
        <v>-366815.0</v>
      </c>
      <c r="T10">
        <f>-Costs!T8</f>
        <v>-381199.0</v>
      </c>
      <c r="U10">
        <f>-Costs!U8</f>
        <v>-395585.0</v>
      </c>
      <c r="V10">
        <f>-Costs!V8</f>
        <v>-409969.0</v>
      </c>
      <c r="W10">
        <f>-Costs!W8</f>
        <v>-424354.0</v>
      </c>
      <c r="X10">
        <f>-Costs!X8</f>
        <v>-438739.0</v>
      </c>
      <c r="Y10">
        <f>-Costs!Y8</f>
        <v>-453124.0</v>
      </c>
      <c r="Z10">
        <f>-Costs!Z8</f>
        <v>-467508.0</v>
      </c>
      <c r="AA10">
        <f>SUM(C10:Z10)</f>
        <v>-7249981.0</v>
      </c>
    </row>
    <row r="11">
      <c r="A11" t="inlineStr">
        <is>
          <t>Marketing</t>
        </is>
      </c>
      <c r="C11">
        <f>-Costs!C11</f>
        <v>-45991.0</v>
      </c>
      <c r="D11">
        <f>-Costs!D11</f>
        <v>-48492.0</v>
      </c>
      <c r="E11">
        <f>-Costs!E11</f>
        <v>-51123.0</v>
      </c>
      <c r="F11">
        <f>-Costs!F11</f>
        <v>-53892.0</v>
      </c>
      <c r="G11">
        <f>-Costs!G11</f>
        <v>-56818.0</v>
      </c>
      <c r="H11">
        <f>-Costs!H11</f>
        <v>-59906.0</v>
      </c>
      <c r="I11">
        <f>-Costs!I11</f>
        <v>-63162.0</v>
      </c>
      <c r="J11">
        <f>-Costs!J11</f>
        <v>-66594.0</v>
      </c>
      <c r="K11">
        <f>-Costs!K11</f>
        <v>-70204.0</v>
      </c>
      <c r="L11">
        <f>-Costs!L11</f>
        <v>-74022.0</v>
      </c>
      <c r="M11">
        <f>-Costs!M11</f>
        <v>-76295.0</v>
      </c>
      <c r="N11">
        <f>-Costs!N11</f>
        <v>-78678.0</v>
      </c>
      <c r="O11">
        <f>-Costs!O11</f>
        <v>-82949.0</v>
      </c>
      <c r="P11">
        <f>-Costs!P11</f>
        <v>-87459.0</v>
      </c>
      <c r="Q11">
        <f>-Costs!Q11</f>
        <v>-92205.0</v>
      </c>
      <c r="R11">
        <f>-Costs!R11</f>
        <v>-97210.0</v>
      </c>
      <c r="S11">
        <f>-Costs!S11</f>
        <v>-102481.0</v>
      </c>
      <c r="T11">
        <f>-Costs!T11</f>
        <v>-108050.0</v>
      </c>
      <c r="U11">
        <f>-Costs!U11</f>
        <v>-113914.0</v>
      </c>
      <c r="V11">
        <f>-Costs!V11</f>
        <v>-120101.0</v>
      </c>
      <c r="W11">
        <f>-Costs!W11</f>
        <v>-126616.0</v>
      </c>
      <c r="X11">
        <f>-Costs!X11</f>
        <v>-133493.0</v>
      </c>
      <c r="Y11">
        <f>-Costs!Y11</f>
        <v>-140745.0</v>
      </c>
      <c r="Z11">
        <f>-Costs!Z11</f>
        <v>-148379.0</v>
      </c>
      <c r="AA11">
        <f>SUM(C11:Z11)</f>
        <v>-2098779.0</v>
      </c>
    </row>
    <row r="12">
      <c r="A12" t="inlineStr">
        <is>
          <t>Overhead</t>
        </is>
      </c>
      <c r="C12">
        <f>-Costs!C12</f>
        <v>-29500.0</v>
      </c>
      <c r="D12">
        <f>-Costs!D12</f>
        <v>-29671.0</v>
      </c>
      <c r="E12">
        <f>-Costs!E12</f>
        <v>-29843.0</v>
      </c>
      <c r="F12">
        <f>-Costs!F12</f>
        <v>-30016.0</v>
      </c>
      <c r="G12">
        <f>-Costs!G12</f>
        <v>-30190.0</v>
      </c>
      <c r="H12">
        <f>-Costs!H12</f>
        <v>-30365.0</v>
      </c>
      <c r="I12">
        <f>-Costs!I12</f>
        <v>-30541.0</v>
      </c>
      <c r="J12">
        <f>-Costs!J12</f>
        <v>-30718.0</v>
      </c>
      <c r="K12">
        <f>-Costs!K12</f>
        <v>-30896.0</v>
      </c>
      <c r="L12">
        <f>-Costs!L12</f>
        <v>-31075.0</v>
      </c>
      <c r="M12">
        <f>-Costs!M12</f>
        <v>-31255.0</v>
      </c>
      <c r="N12">
        <f>-Costs!N12</f>
        <v>-31436.0</v>
      </c>
      <c r="O12">
        <f>-Costs!O12</f>
        <v>-31618.0</v>
      </c>
      <c r="P12">
        <f>-Costs!P12</f>
        <v>-31801.0</v>
      </c>
      <c r="Q12">
        <f>-Costs!Q12</f>
        <v>-31985.0</v>
      </c>
      <c r="R12">
        <f>-Costs!R12</f>
        <v>-32171.0</v>
      </c>
      <c r="S12">
        <f>-Costs!S12</f>
        <v>-32358.0</v>
      </c>
      <c r="T12">
        <f>-Costs!T12</f>
        <v>-32546.0</v>
      </c>
      <c r="U12">
        <f>-Costs!U12</f>
        <v>-32735.0</v>
      </c>
      <c r="V12">
        <f>-Costs!V12</f>
        <v>-32925.0</v>
      </c>
      <c r="W12">
        <f>-Costs!W12</f>
        <v>-33116.0</v>
      </c>
      <c r="X12">
        <f>-Costs!X12</f>
        <v>-33308.0</v>
      </c>
      <c r="Y12">
        <f>-Costs!Y12</f>
        <v>-33501.0</v>
      </c>
      <c r="Z12">
        <f>-Costs!Z12</f>
        <v>-33695.0</v>
      </c>
      <c r="AA12">
        <f>SUM(C12:Z12)</f>
        <v>-757265.0</v>
      </c>
    </row>
    <row r="13">
      <c r="A13" t="inlineStr">
        <is>
          <t>Total operating costs</t>
        </is>
      </c>
      <c r="C13">
        <f>C10+C11+C12</f>
        <v>-212148.0</v>
      </c>
      <c r="D13">
        <f>D10+D11+D12</f>
        <v>-229204.0</v>
      </c>
      <c r="E13">
        <f>E10+E11+E12</f>
        <v>-246392.0</v>
      </c>
      <c r="F13">
        <f>F10+F11+F12</f>
        <v>-263719.0</v>
      </c>
      <c r="G13">
        <f>G10+G11+G12</f>
        <v>-281204.0</v>
      </c>
      <c r="H13">
        <f>H10+H11+H12</f>
        <v>-298851.0</v>
      </c>
      <c r="I13">
        <f>I10+I11+I12</f>
        <v>-316669.0</v>
      </c>
      <c r="J13">
        <f>J10+J11+J12</f>
        <v>-334663.0</v>
      </c>
      <c r="K13">
        <f>K10+K11+K12</f>
        <v>-352835.0</v>
      </c>
      <c r="L13">
        <f>L10+L11+L12</f>
        <v>-371218.0</v>
      </c>
      <c r="M13">
        <f>M10+M11+M12</f>
        <v>-388055.0</v>
      </c>
      <c r="N13">
        <f>N10+N11+N12</f>
        <v>-405004.0</v>
      </c>
      <c r="O13">
        <f>O10+O11+O12</f>
        <v>-423842.0</v>
      </c>
      <c r="P13">
        <f>P10+P11+P12</f>
        <v>-442920.0</v>
      </c>
      <c r="Q13">
        <f>Q10+Q11+Q12</f>
        <v>-462234.0</v>
      </c>
      <c r="R13">
        <f>R10+R11+R12</f>
        <v>-481811.0</v>
      </c>
      <c r="S13">
        <f>S10+S11+S12</f>
        <v>-501654.0</v>
      </c>
      <c r="T13">
        <f>T10+T11+T12</f>
        <v>-521795.0</v>
      </c>
      <c r="U13">
        <f>U10+U11+U12</f>
        <v>-542234.0</v>
      </c>
      <c r="V13">
        <f>V10+V11+V12</f>
        <v>-562995.0</v>
      </c>
      <c r="W13">
        <f>W10+W11+W12</f>
        <v>-584086.0</v>
      </c>
      <c r="X13">
        <f>X10+X11+X12</f>
        <v>-605540.0</v>
      </c>
      <c r="Y13">
        <f>Y10+Y11+Y12</f>
        <v>-627370.0</v>
      </c>
      <c r="Z13">
        <f>Z10+Z11+Z12</f>
        <v>-649582.0</v>
      </c>
      <c r="AA13">
        <f>SUM(C13:Z13)</f>
        <v>-10106025.0</v>
      </c>
    </row>
    <row r="15">
      <c r="A15" t="inlineStr">
        <is>
          <t>EBITDA</t>
        </is>
      </c>
      <c r="C15">
        <f>C7+C13</f>
        <v>347116.0</v>
      </c>
      <c r="D15">
        <f>D7+D13</f>
        <v>360462.0</v>
      </c>
      <c r="E15">
        <f>E7+E13</f>
        <v>375267.0</v>
      </c>
      <c r="F15">
        <f>F7+F13</f>
        <v>391614.0</v>
      </c>
      <c r="G15">
        <f>G7+G13</f>
        <v>409711.0</v>
      </c>
      <c r="H15">
        <f>H7+H13</f>
        <v>429616.0</v>
      </c>
      <c r="I15">
        <f>I7+I13</f>
        <v>451391.0</v>
      </c>
      <c r="J15">
        <f>J7+J13</f>
        <v>475126.0</v>
      </c>
      <c r="K15">
        <f>K7+K13</f>
        <v>500853.0</v>
      </c>
      <c r="L15">
        <f>L7+L13</f>
        <v>528902.0</v>
      </c>
      <c r="M15">
        <f>M7+M13</f>
        <v>539711.0</v>
      </c>
      <c r="N15">
        <f>N7+N13</f>
        <v>551729.0</v>
      </c>
      <c r="O15">
        <f>O7+O13</f>
        <v>584833.0</v>
      </c>
      <c r="P15">
        <f>P7+P13</f>
        <v>620596.0</v>
      </c>
      <c r="Q15">
        <f>Q7+Q13</f>
        <v>658999.0</v>
      </c>
      <c r="R15">
        <f>R7+R13</f>
        <v>700274.0</v>
      </c>
      <c r="S15">
        <f>S7+S13</f>
        <v>744535.0</v>
      </c>
      <c r="T15">
        <f>T7+T13</f>
        <v>792116.0</v>
      </c>
      <c r="U15">
        <f>U7+U13</f>
        <v>842983.0</v>
      </c>
      <c r="V15">
        <f>V7+V13</f>
        <v>897456.0</v>
      </c>
      <c r="W15">
        <f>W7+W13</f>
        <v>955585.0</v>
      </c>
      <c r="X15">
        <f>X7+X13</f>
        <v>1017753.0</v>
      </c>
      <c r="Y15">
        <f>Y7+Y13</f>
        <v>1084117.0</v>
      </c>
      <c r="Z15">
        <f>Z7+Z13</f>
        <v>1154735.0</v>
      </c>
      <c r="AA15">
        <f>SUM(C15:Z15)</f>
        <v>15415480.0</v>
      </c>
    </row>
    <row r="16">
      <c r="A16" t="inlineStr">
        <is>
          <t>EBITDA margin</t>
        </is>
      </c>
      <c r="C16">
        <f>IF(C5=0,0,ROUND(C15/C5,4))</f>
        <v>0.6045</v>
      </c>
      <c r="D16">
        <f>IF(D5=0,0,ROUND(D15/D5,4))</f>
        <v>0.5954</v>
      </c>
      <c r="E16">
        <f>IF(E5=0,0,ROUND(E15/E5,4))</f>
        <v>0.588</v>
      </c>
      <c r="F16">
        <f>IF(F5=0,0,ROUND(F15/F5,4))</f>
        <v>0.5821</v>
      </c>
      <c r="G16">
        <f>IF(G5=0,0,ROUND(G15/G5,4))</f>
        <v>0.5776</v>
      </c>
      <c r="H16">
        <f>IF(H5=0,0,ROUND(H15/H5,4))</f>
        <v>0.5744</v>
      </c>
      <c r="I16">
        <f>IF(I5=0,0,ROUND(I15/I5,4))</f>
        <v>0.5724</v>
      </c>
      <c r="J16">
        <f>IF(J5=0,0,ROUND(J15/J5,4))</f>
        <v>0.5715</v>
      </c>
      <c r="K16">
        <f>IF(K5=0,0,ROUND(K15/K5,4))</f>
        <v>0.5715</v>
      </c>
      <c r="L16">
        <f>IF(L5=0,0,ROUND(L15/L5,4))</f>
        <v>0.5723</v>
      </c>
      <c r="M16">
        <f>IF(M5=0,0,ROUND(M15/M5,4))</f>
        <v>0.5666</v>
      </c>
      <c r="N16">
        <f>IF(N5=0,0,ROUND(N15/N5,4))</f>
        <v>0.5617</v>
      </c>
      <c r="O16">
        <f>IF(O5=0,0,ROUND(O15/O5,4))</f>
        <v>0.5647</v>
      </c>
      <c r="P16">
        <f>IF(P5=0,0,ROUND(P15/P5,4))</f>
        <v>0.5684</v>
      </c>
      <c r="Q16">
        <f>IF(Q5=0,0,ROUND(Q15/Q5,4))</f>
        <v>0.5725</v>
      </c>
      <c r="R16">
        <f>IF(R5=0,0,ROUND(R15/R5,4))</f>
        <v>0.577</v>
      </c>
      <c r="S16">
        <f>IF(S5=0,0,ROUND(S15/S5,4))</f>
        <v>0.5819</v>
      </c>
      <c r="T16">
        <f>IF(T5=0,0,ROUND(T15/T5,4))</f>
        <v>0.5872</v>
      </c>
      <c r="U16">
        <f>IF(U5=0,0,ROUND(U15/U5,4))</f>
        <v>0.5928</v>
      </c>
      <c r="V16">
        <f>IF(V5=0,0,ROUND(V15/V5,4))</f>
        <v>0.5985</v>
      </c>
      <c r="W16">
        <f>IF(W5=0,0,ROUND(W15/W5,4))</f>
        <v>0.6045</v>
      </c>
      <c r="X16">
        <f>IF(X5=0,0,ROUND(X15/X5,4))</f>
        <v>0.6107</v>
      </c>
      <c r="Y16">
        <f>IF(Y5=0,0,ROUND(Y15/Y5,4))</f>
        <v>0.617</v>
      </c>
      <c r="Z16">
        <f>IF(Z5=0,0,ROUND(Z15/Z5,4))</f>
        <v>0.6234</v>
      </c>
    </row>
    <row r="18">
      <c r="A18" t="inlineStr">
        <is>
          <t>Cumulative EBITDA</t>
        </is>
      </c>
      <c r="C18">
        <f>C15</f>
        <v>347116.0</v>
      </c>
      <c r="D18">
        <f>C18+D15</f>
        <v>707578.0</v>
      </c>
      <c r="E18">
        <f>D18+E15</f>
        <v>1082845.0</v>
      </c>
      <c r="F18">
        <f>E18+F15</f>
        <v>1474459.0</v>
      </c>
      <c r="G18">
        <f>F18+G15</f>
        <v>1884170.0</v>
      </c>
      <c r="H18">
        <f>G18+H15</f>
        <v>2313786.0</v>
      </c>
      <c r="I18">
        <f>H18+I15</f>
        <v>2765177.0</v>
      </c>
      <c r="J18">
        <f>I18+J15</f>
        <v>3240303.0</v>
      </c>
      <c r="K18">
        <f>J18+K15</f>
        <v>3741156.0</v>
      </c>
      <c r="L18">
        <f>K18+L15</f>
        <v>4270058.0</v>
      </c>
      <c r="M18">
        <f>L18+M15</f>
        <v>4809769.0</v>
      </c>
      <c r="N18">
        <f>M18+N15</f>
        <v>5361498.0</v>
      </c>
      <c r="O18">
        <f>N18+O15</f>
        <v>5946331.0</v>
      </c>
      <c r="P18">
        <f>O18+P15</f>
        <v>6566927.0</v>
      </c>
      <c r="Q18">
        <f>P18+Q15</f>
        <v>7225926.0</v>
      </c>
      <c r="R18">
        <f>Q18+R15</f>
        <v>7926200.0</v>
      </c>
      <c r="S18">
        <f>R18+S15</f>
        <v>8670735.0</v>
      </c>
      <c r="T18">
        <f>S18+T15</f>
        <v>9462851.0</v>
      </c>
      <c r="U18">
        <f>T18+U15</f>
        <v>10305834.0</v>
      </c>
      <c r="V18">
        <f>U18+V15</f>
        <v>11203290.0</v>
      </c>
      <c r="W18">
        <f>V18+W15</f>
        <v>12158875.0</v>
      </c>
      <c r="X18">
        <f>W18+X15</f>
        <v>13176628.0</v>
      </c>
      <c r="Y18">
        <f>X18+Y15</f>
        <v>14260745.0</v>
      </c>
      <c r="Z18">
        <f>Y18+Z15</f>
        <v>15415480.0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26201968.0</v>
      </c>
    </row>
    <row r="4">
      <c r="A4" t="inlineStr">
        <is>
          <t>Total EBITDA</t>
        </is>
      </c>
      <c r="B4">
        <f>'P&amp;L'!AA15</f>
        <v>15415480.0</v>
      </c>
    </row>
    <row r="5">
      <c r="A5" t="inlineStr">
        <is>
          <t>Exit run rate EBITDA</t>
        </is>
      </c>
      <c r="B5">
        <f>SUM('P&amp;L'!O15:Z15)</f>
        <v>10053982.0</v>
      </c>
    </row>
    <row r="6">
      <c r="A6" t="inlineStr">
        <is>
          <t>EBITDA multiple</t>
        </is>
      </c>
      <c r="B6">
        <f>Assumptions!$B$21</f>
        <v>12.8</v>
      </c>
    </row>
    <row r="7">
      <c r="A7" t="inlineStr">
        <is>
          <t>Enterprise value</t>
        </is>
      </c>
      <c r="B7">
        <f>ROUND(B5*B6,0)</f>
        <v>128690970.0</v>
      </c>
    </row>
    <row r="8">
      <c r="A8" t="inlineStr">
        <is>
          <t>Net debt</t>
        </is>
      </c>
      <c r="B8">
        <f>Assumptions!$B$22</f>
        <v>2250000.0</v>
      </c>
    </row>
    <row r="9">
      <c r="A9" t="inlineStr">
        <is>
          <t>Equity value</t>
        </is>
      </c>
      <c r="B9">
        <f>B7-B8</f>
        <v>126440970.0</v>
      </c>
    </row>
    <row r="11">
      <c r="A11" t="inlineStr">
        <is>
          <t>Average monthly EBITDA</t>
        </is>
      </c>
      <c r="B11">
        <f>AVERAGE('P&amp;L'!C15:Z15)</f>
        <v>642311.6666666666</v>
      </c>
    </row>
    <row r="12">
      <c r="A12" t="inlineStr">
        <is>
          <t>Best month</t>
        </is>
      </c>
      <c r="B12">
        <f>MAX('P&amp;L'!C15:Z15)</f>
        <v>1154735.0</v>
      </c>
    </row>
    <row r="13">
      <c r="A13" t="inlineStr">
        <is>
          <t>Worst month</t>
        </is>
      </c>
      <c r="B13">
        <f>MIN('P&amp;L'!C15:Z15)</f>
        <v>347116.0</v>
      </c>
    </row>
    <row r="14">
      <c r="A14" t="inlineStr">
        <is>
          <t>Sum of positive months</t>
        </is>
      </c>
      <c r="B14">
        <f>SUMIF('P&amp;L'!C15:Z15,"&gt;0")</f>
        <v>15415480.0</v>
      </c>
    </row>
    <row r="15">
      <c r="A15" t="inlineStr">
        <is>
          <t>Best to worst swing</t>
        </is>
      </c>
      <c r="B15">
        <f>ABS(B12-B13)</f>
        <v>807619.0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