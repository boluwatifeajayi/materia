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7900</v>
      </c>
    </row>
    <row r="5">
      <c r="A5" t="inlineStr">
        <is>
          <t>Monthly new customer rate</t>
        </is>
      </c>
      <c r="B5" t="n">
        <v>0.0523</v>
      </c>
    </row>
    <row r="6">
      <c r="A6" t="inlineStr">
        <is>
          <t>Monthly churn rate</t>
        </is>
      </c>
      <c r="B6" t="n">
        <v>0.0176</v>
      </c>
    </row>
    <row r="7">
      <c r="A7" t="inlineStr">
        <is>
          <t>Opening ARPU</t>
        </is>
      </c>
      <c r="B7" t="n">
        <v>77.09999999999999</v>
      </c>
    </row>
    <row r="8">
      <c r="A8" t="inlineStr">
        <is>
          <t>Monthly ARPU uplift</t>
        </is>
      </c>
      <c r="B8" t="n">
        <v>0.0074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0.213</v>
      </c>
    </row>
    <row r="12">
      <c r="A12" t="inlineStr">
        <is>
          <t>Opening headcount</t>
        </is>
      </c>
      <c r="B12" t="n">
        <v>18</v>
      </c>
    </row>
    <row r="13">
      <c r="A13" t="inlineStr">
        <is>
          <t>New hires per month</t>
        </is>
      </c>
      <c r="B13" t="n">
        <v>3</v>
      </c>
    </row>
    <row r="14">
      <c r="A14" t="inlineStr">
        <is>
          <t>Average salary</t>
        </is>
      </c>
      <c r="B14" t="n">
        <v>77500</v>
      </c>
    </row>
    <row r="15">
      <c r="A15" t="inlineStr">
        <is>
          <t>Payroll tax rate</t>
        </is>
      </c>
      <c r="B15" t="n">
        <v>0.1109</v>
      </c>
    </row>
    <row r="16">
      <c r="A16" t="inlineStr">
        <is>
          <t>Marketing as share of revenue</t>
        </is>
      </c>
      <c r="B16" t="n">
        <v>0.09569999999999999</v>
      </c>
    </row>
    <row r="17">
      <c r="A17" t="inlineStr">
        <is>
          <t>Monthly overhead</t>
        </is>
      </c>
      <c r="B17" t="n">
        <v>32500</v>
      </c>
    </row>
    <row r="18">
      <c r="A18" t="inlineStr">
        <is>
          <t>Monthly overhead inflation</t>
        </is>
      </c>
      <c r="B18" t="n">
        <v>0.0058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13</v>
      </c>
    </row>
    <row r="22">
      <c r="A22" t="inlineStr">
        <is>
          <t>Net debt</t>
        </is>
      </c>
      <c r="B22" t="n">
        <v>3600000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7900.0</v>
      </c>
      <c r="D5">
        <f>C9</f>
        <v>8174.0</v>
      </c>
      <c r="E5">
        <f>D9</f>
        <v>8458.0</v>
      </c>
      <c r="F5">
        <f>E9</f>
        <v>8751.0</v>
      </c>
      <c r="G5">
        <f>F9</f>
        <v>9055.0</v>
      </c>
      <c r="H5">
        <f>G9</f>
        <v>9370.0</v>
      </c>
      <c r="I5">
        <f>H9</f>
        <v>9695.0</v>
      </c>
      <c r="J5">
        <f>I9</f>
        <v>10031.0</v>
      </c>
      <c r="K5">
        <f>J9</f>
        <v>10379.0</v>
      </c>
      <c r="L5">
        <f>K9</f>
        <v>10739.0</v>
      </c>
      <c r="M5">
        <f>L9</f>
        <v>11112.0</v>
      </c>
      <c r="N5">
        <f>M9</f>
        <v>11497.0</v>
      </c>
      <c r="O5">
        <f>N9</f>
        <v>11896.0</v>
      </c>
      <c r="P5">
        <f>O9</f>
        <v>12309.0</v>
      </c>
      <c r="Q5">
        <f>P9</f>
        <v>12736.0</v>
      </c>
      <c r="R5">
        <f>Q9</f>
        <v>13178.0</v>
      </c>
      <c r="S5">
        <f>R9</f>
        <v>13635.0</v>
      </c>
      <c r="T5">
        <f>S9</f>
        <v>14108.0</v>
      </c>
      <c r="U5">
        <f>T9</f>
        <v>14598.0</v>
      </c>
      <c r="V5">
        <f>U9</f>
        <v>15104.0</v>
      </c>
      <c r="W5">
        <f>V9</f>
        <v>15628.0</v>
      </c>
      <c r="X5">
        <f>W9</f>
        <v>16170.0</v>
      </c>
      <c r="Y5">
        <f>X9</f>
        <v>16731.0</v>
      </c>
      <c r="Z5">
        <f>Y9</f>
        <v>17312.0</v>
      </c>
    </row>
    <row r="6">
      <c r="A6" t="inlineStr">
        <is>
          <t>New customers</t>
        </is>
      </c>
      <c r="C6">
        <f>ROUND(C5*Assumptions!$B$5,0)</f>
        <v>413.0</v>
      </c>
      <c r="D6">
        <f>ROUND(D5*Assumptions!$B$5,0)</f>
        <v>428.0</v>
      </c>
      <c r="E6">
        <f>ROUND(E5*Assumptions!$B$5,0)</f>
        <v>442.0</v>
      </c>
      <c r="F6">
        <f>ROUND(F5*Assumptions!$B$5,0)</f>
        <v>458.0</v>
      </c>
      <c r="G6">
        <f>ROUND(G5*Assumptions!$B$5,0)</f>
        <v>474.0</v>
      </c>
      <c r="H6">
        <f>ROUND(H5*Assumptions!$B$5,0)</f>
        <v>490.0</v>
      </c>
      <c r="I6">
        <f>ROUND(I5*Assumptions!$B$5,0)</f>
        <v>507.0</v>
      </c>
      <c r="J6">
        <f>ROUND(J5*Assumptions!$B$5,0)</f>
        <v>525.0</v>
      </c>
      <c r="K6">
        <f>ROUND(K5*Assumptions!$B$5,0)</f>
        <v>543.0</v>
      </c>
      <c r="L6">
        <f>ROUND(L5*Assumptions!$B$5,0)</f>
        <v>562.0</v>
      </c>
      <c r="M6">
        <f>ROUND(M5*Assumptions!$B$5,0)</f>
        <v>581.0</v>
      </c>
      <c r="N6">
        <f>ROUND(N5*Assumptions!$B$5,0)</f>
        <v>601.0</v>
      </c>
      <c r="O6">
        <f>ROUND(O5*Assumptions!$B$5,0)</f>
        <v>622.0</v>
      </c>
      <c r="P6">
        <f>ROUND(P5*Assumptions!$B$5,0)</f>
        <v>644.0</v>
      </c>
      <c r="Q6">
        <f>ROUND(Q5*Assumptions!$B$5,0)</f>
        <v>666.0</v>
      </c>
      <c r="R6">
        <f>ROUND(R5*Assumptions!$B$5,0)</f>
        <v>689.0</v>
      </c>
      <c r="S6">
        <f>ROUND(S5*Assumptions!$B$5,0)</f>
        <v>713.0</v>
      </c>
      <c r="T6">
        <f>ROUND(T5*Assumptions!$B$5,0)</f>
        <v>738.0</v>
      </c>
      <c r="U6">
        <f>ROUND(U5*Assumptions!$B$5,0)</f>
        <v>763.0</v>
      </c>
      <c r="V6">
        <f>ROUND(V5*Assumptions!$B$5,0)</f>
        <v>790.0</v>
      </c>
      <c r="W6">
        <f>ROUND(W5*Assumptions!$B$5,0)</f>
        <v>817.0</v>
      </c>
      <c r="X6">
        <f>ROUND(X5*Assumptions!$B$5,0)</f>
        <v>846.0</v>
      </c>
      <c r="Y6">
        <f>ROUND(Y5*Assumptions!$B$5,0)</f>
        <v>875.0</v>
      </c>
      <c r="Z6">
        <f>ROUND(Z5*Assumptions!$B$5,0)</f>
        <v>905.0</v>
      </c>
    </row>
    <row r="7">
      <c r="A7" t="inlineStr">
        <is>
          <t>Churned customers</t>
        </is>
      </c>
      <c r="C7">
        <f>-ROUND(C5*Assumptions!$B$6,0)</f>
        <v>-139.0</v>
      </c>
      <c r="D7">
        <f>-ROUND(D5*Assumptions!$B$6,0)</f>
        <v>-144.0</v>
      </c>
      <c r="E7">
        <f>-ROUND(E5*Assumptions!$B$6,0)</f>
        <v>-149.0</v>
      </c>
      <c r="F7">
        <f>-ROUND(F5*Assumptions!$B$6,0)</f>
        <v>-154.0</v>
      </c>
      <c r="G7">
        <f>-ROUND(G5*Assumptions!$B$6,0)</f>
        <v>-159.0</v>
      </c>
      <c r="H7">
        <f>-ROUND(H5*Assumptions!$B$6,0)</f>
        <v>-165.0</v>
      </c>
      <c r="I7">
        <f>-ROUND(I5*Assumptions!$B$6,0)</f>
        <v>-171.0</v>
      </c>
      <c r="J7">
        <f>-ROUND(J5*Assumptions!$B$6,0)</f>
        <v>-177.0</v>
      </c>
      <c r="K7">
        <f>-ROUND(K5*Assumptions!$B$6,0)</f>
        <v>-183.0</v>
      </c>
      <c r="L7">
        <f>-ROUND(L5*Assumptions!$B$6,0)</f>
        <v>-189.0</v>
      </c>
      <c r="M7">
        <f>-ROUND(M5*Assumptions!$B$6,0)</f>
        <v>-196.0</v>
      </c>
      <c r="N7">
        <f>-ROUND(N5*Assumptions!$B$6,0)</f>
        <v>-202.0</v>
      </c>
      <c r="O7">
        <f>-ROUND(O5*Assumptions!$B$6,0)</f>
        <v>-209.0</v>
      </c>
      <c r="P7">
        <f>-ROUND(P5*Assumptions!$B$6,0)</f>
        <v>-217.0</v>
      </c>
      <c r="Q7">
        <f>-ROUND(Q5*Assumptions!$B$6,0)</f>
        <v>-224.0</v>
      </c>
      <c r="R7">
        <f>-ROUND(R5*Assumptions!$B$6,0)</f>
        <v>-232.0</v>
      </c>
      <c r="S7">
        <f>-ROUND(S5*Assumptions!$B$6,0)</f>
        <v>-240.0</v>
      </c>
      <c r="T7">
        <f>-ROUND(T5*Assumptions!$B$6,0)</f>
        <v>-248.0</v>
      </c>
      <c r="U7">
        <f>-ROUND(U5*Assumptions!$B$6,0)</f>
        <v>-257.0</v>
      </c>
      <c r="V7">
        <f>-ROUND(V5*Assumptions!$B$6,0)</f>
        <v>-266.0</v>
      </c>
      <c r="W7">
        <f>-ROUND(W5*Assumptions!$B$6,0)</f>
        <v>-275.0</v>
      </c>
      <c r="X7">
        <f>-ROUND(X5*Assumptions!$B$6,0)</f>
        <v>-285.0</v>
      </c>
      <c r="Y7">
        <f>-ROUND(Y5*Assumptions!$B$6,0)</f>
        <v>-294.0</v>
      </c>
      <c r="Z7">
        <f>-ROUND(Z5*Assumptions!$B$6,0)</f>
        <v>-305.0</v>
      </c>
    </row>
    <row r="9">
      <c r="A9" t="inlineStr">
        <is>
          <t>Closing customers</t>
        </is>
      </c>
      <c r="C9">
        <f>C5+C6+C7</f>
        <v>8174.0</v>
      </c>
      <c r="D9">
        <f>D5+D6+D7</f>
        <v>8458.0</v>
      </c>
      <c r="E9">
        <f>E5+E6+E7</f>
        <v>8751.0</v>
      </c>
      <c r="F9">
        <f>F5+F6+F7</f>
        <v>9055.0</v>
      </c>
      <c r="G9">
        <f>G5+G6+G7</f>
        <v>9370.0</v>
      </c>
      <c r="H9">
        <f>H5+H6+H7</f>
        <v>9695.0</v>
      </c>
      <c r="I9">
        <f>I5+I6+I7</f>
        <v>10031.0</v>
      </c>
      <c r="J9">
        <f>J5+J6+J7</f>
        <v>10379.0</v>
      </c>
      <c r="K9">
        <f>K5+K6+K7</f>
        <v>10739.0</v>
      </c>
      <c r="L9">
        <f>L5+L6+L7</f>
        <v>11112.0</v>
      </c>
      <c r="M9">
        <f>M5+M6+M7</f>
        <v>11497.0</v>
      </c>
      <c r="N9">
        <f>N5+N6+N7</f>
        <v>11896.0</v>
      </c>
      <c r="O9">
        <f>O5+O6+O7</f>
        <v>12309.0</v>
      </c>
      <c r="P9">
        <f>P5+P6+P7</f>
        <v>12736.0</v>
      </c>
      <c r="Q9">
        <f>Q5+Q6+Q7</f>
        <v>13178.0</v>
      </c>
      <c r="R9">
        <f>R5+R6+R7</f>
        <v>13635.0</v>
      </c>
      <c r="S9">
        <f>S5+S6+S7</f>
        <v>14108.0</v>
      </c>
      <c r="T9">
        <f>T5+T6+T7</f>
        <v>14598.0</v>
      </c>
      <c r="U9">
        <f>U5+U6+U7</f>
        <v>15104.0</v>
      </c>
      <c r="V9">
        <f>V5+V6+V7</f>
        <v>15628.0</v>
      </c>
      <c r="W9">
        <f>W5+W6+W7</f>
        <v>16170.0</v>
      </c>
      <c r="X9">
        <f>X5+X6+X7</f>
        <v>16731.0</v>
      </c>
      <c r="Y9">
        <f>Y5+Y6+Y7</f>
        <v>17312.0</v>
      </c>
      <c r="Z9">
        <f>Z5+Z6+Z7</f>
        <v>17912.0</v>
      </c>
    </row>
    <row r="11">
      <c r="A11" t="inlineStr">
        <is>
          <t>ARPU</t>
        </is>
      </c>
      <c r="C11">
        <f>Assumptions!$B$7</f>
        <v>77.1</v>
      </c>
      <c r="D11">
        <f>ROUND(C11*(1+Assumptions!$B$8),2)</f>
        <v>77.67</v>
      </c>
      <c r="E11">
        <f>ROUND(D11*(1+Assumptions!$B$8),2)</f>
        <v>78.24</v>
      </c>
      <c r="F11">
        <f>ROUND(E11*(1+Assumptions!$B$8),2)</f>
        <v>78.82</v>
      </c>
      <c r="G11">
        <f>ROUND(F11*(1+Assumptions!$B$8),2)</f>
        <v>79.4</v>
      </c>
      <c r="H11">
        <f>ROUND(G11*(1+Assumptions!$B$8),2)</f>
        <v>79.99</v>
      </c>
      <c r="I11">
        <f>ROUND(H11*(1+Assumptions!$B$8),2)</f>
        <v>80.58</v>
      </c>
      <c r="J11">
        <f>ROUND(I11*(1+Assumptions!$B$8),2)</f>
        <v>81.18</v>
      </c>
      <c r="K11">
        <f>ROUND(J11*(1+Assumptions!$B$8),2)</f>
        <v>81.78</v>
      </c>
      <c r="L11">
        <f>ROUND(K11*(1+Assumptions!$B$8),2)</f>
        <v>82.39</v>
      </c>
      <c r="M11">
        <f>ROUND(L11*(1+Assumptions!$B$8),2)</f>
        <v>83.0</v>
      </c>
      <c r="N11">
        <f>ROUND(M11*(1+Assumptions!$B$8),2)</f>
        <v>83.61</v>
      </c>
      <c r="O11">
        <f>ROUND(N11*(1+Assumptions!$B$8),2)</f>
        <v>84.23</v>
      </c>
      <c r="P11">
        <f>ROUND(O11*(1+Assumptions!$B$8),2)</f>
        <v>84.85</v>
      </c>
      <c r="Q11">
        <f>ROUND(P11*(1+Assumptions!$B$8),2)</f>
        <v>85.48</v>
      </c>
      <c r="R11">
        <f>ROUND(Q11*(1+Assumptions!$B$8),2)</f>
        <v>86.11</v>
      </c>
      <c r="S11">
        <f>ROUND(R11*(1+Assumptions!$B$8),2)</f>
        <v>86.75</v>
      </c>
      <c r="T11">
        <f>ROUND(S11*(1+Assumptions!$B$8),2)</f>
        <v>87.39</v>
      </c>
      <c r="U11">
        <f>ROUND(T11*(1+Assumptions!$B$8),2)</f>
        <v>88.04</v>
      </c>
      <c r="V11">
        <f>ROUND(U11*(1+Assumptions!$B$8),2)</f>
        <v>88.69</v>
      </c>
      <c r="W11">
        <f>ROUND(V11*(1+Assumptions!$B$8),2)</f>
        <v>89.35</v>
      </c>
      <c r="X11">
        <f>ROUND(W11*(1+Assumptions!$B$8),2)</f>
        <v>90.01</v>
      </c>
      <c r="Y11">
        <f>ROUND(X11*(1+Assumptions!$B$8),2)</f>
        <v>90.68</v>
      </c>
      <c r="Z11">
        <f>ROUND(Y11*(1+Assumptions!$B$8),2)</f>
        <v>91.35</v>
      </c>
    </row>
    <row r="13">
      <c r="A13" t="inlineStr">
        <is>
          <t>Average customers</t>
        </is>
      </c>
      <c r="C13">
        <f>ROUND((C5+C9)/2,0)</f>
        <v>8037.0</v>
      </c>
      <c r="D13">
        <f>ROUND((D5+D9)/2,0)</f>
        <v>8316.0</v>
      </c>
      <c r="E13">
        <f>ROUND((E5+E9)/2,0)</f>
        <v>8605.0</v>
      </c>
      <c r="F13">
        <f>ROUND((F5+F9)/2,0)</f>
        <v>8903.0</v>
      </c>
      <c r="G13">
        <f>ROUND((G5+G9)/2,0)</f>
        <v>9213.0</v>
      </c>
      <c r="H13">
        <f>ROUND((H5+H9)/2,0)</f>
        <v>9533.0</v>
      </c>
      <c r="I13">
        <f>ROUND((I5+I9)/2,0)</f>
        <v>9863.0</v>
      </c>
      <c r="J13">
        <f>ROUND((J5+J9)/2,0)</f>
        <v>10205.0</v>
      </c>
      <c r="K13">
        <f>ROUND((K5+K9)/2,0)</f>
        <v>10559.0</v>
      </c>
      <c r="L13">
        <f>ROUND((L5+L9)/2,0)</f>
        <v>10926.0</v>
      </c>
      <c r="M13">
        <f>ROUND((M5+M9)/2,0)</f>
        <v>11305.0</v>
      </c>
      <c r="N13">
        <f>ROUND((N5+N9)/2,0)</f>
        <v>11697.0</v>
      </c>
      <c r="O13">
        <f>ROUND((O5+O9)/2,0)</f>
        <v>12103.0</v>
      </c>
      <c r="P13">
        <f>ROUND((P5+P9)/2,0)</f>
        <v>12523.0</v>
      </c>
      <c r="Q13">
        <f>ROUND((Q5+Q9)/2,0)</f>
        <v>12957.0</v>
      </c>
      <c r="R13">
        <f>ROUND((R5+R9)/2,0)</f>
        <v>13407.0</v>
      </c>
      <c r="S13">
        <f>ROUND((S5+S9)/2,0)</f>
        <v>13872.0</v>
      </c>
      <c r="T13">
        <f>ROUND((T5+T9)/2,0)</f>
        <v>14353.0</v>
      </c>
      <c r="U13">
        <f>ROUND((U5+U9)/2,0)</f>
        <v>14851.0</v>
      </c>
      <c r="V13">
        <f>ROUND((V5+V9)/2,0)</f>
        <v>15366.0</v>
      </c>
      <c r="W13">
        <f>ROUND((W5+W9)/2,0)</f>
        <v>15899.0</v>
      </c>
      <c r="X13">
        <f>ROUND((X5+X9)/2,0)</f>
        <v>16451.0</v>
      </c>
      <c r="Y13">
        <f>ROUND((Y5+Y9)/2,0)</f>
        <v>17022.0</v>
      </c>
      <c r="Z13">
        <f>ROUND((Z5+Z9)/2,0)</f>
        <v>17612.0</v>
      </c>
    </row>
    <row r="15">
      <c r="A15" t="inlineStr">
        <is>
          <t>Revenue</t>
        </is>
      </c>
      <c r="C15">
        <f>ROUND(C13*C11,0)</f>
        <v>619653.0</v>
      </c>
      <c r="D15">
        <f>ROUND(D13*D11,0)</f>
        <v>645904.0</v>
      </c>
      <c r="E15">
        <f>ROUND(E13*E11,0)</f>
        <v>673255.0</v>
      </c>
      <c r="F15">
        <f>ROUND(F13*F11,0)</f>
        <v>701734.0</v>
      </c>
      <c r="G15">
        <f>ROUND(G13*G11,0)</f>
        <v>731512.0</v>
      </c>
      <c r="H15">
        <f>ROUND(H13*H11,0)</f>
        <v>762545.0</v>
      </c>
      <c r="I15">
        <f>ROUND(I13*I11,0)</f>
        <v>794761.0</v>
      </c>
      <c r="J15">
        <f>ROUND(J13*J11,0)</f>
        <v>828442.0</v>
      </c>
      <c r="K15">
        <f>ROUND(K13*K11,0)</f>
        <v>863515.0</v>
      </c>
      <c r="L15">
        <f>ROUND(L13*L11,0)</f>
        <v>900193.0</v>
      </c>
      <c r="M15">
        <f>ROUND(M13*M11,0)</f>
        <v>938315.0</v>
      </c>
      <c r="N15">
        <f>ROUND(N13*N11,0)</f>
        <v>977986.0</v>
      </c>
      <c r="O15">
        <f>ROUND(O13*O11,0)</f>
        <v>1019436.0</v>
      </c>
      <c r="P15">
        <f>ROUND(P13*P11,0)</f>
        <v>1062577.0</v>
      </c>
      <c r="Q15">
        <f>ROUND(Q13*Q11,0)</f>
        <v>1107564.0</v>
      </c>
      <c r="R15">
        <f>ROUND(R13*R11,0)</f>
        <v>1154477.0</v>
      </c>
      <c r="S15">
        <f>ROUND(S13*S11,0)</f>
        <v>1203396.0</v>
      </c>
      <c r="T15">
        <f>ROUND(T13*T11,0)</f>
        <v>1254309.0</v>
      </c>
      <c r="U15">
        <f>ROUND(U13*U11,0)</f>
        <v>1307482.0</v>
      </c>
      <c r="V15">
        <f>ROUND(V13*V11,0)</f>
        <v>1362811.0</v>
      </c>
      <c r="W15">
        <f>ROUND(W13*W11,0)</f>
        <v>1420576.0</v>
      </c>
      <c r="X15">
        <f>ROUND(X13*X11,0)</f>
        <v>1480755.0</v>
      </c>
      <c r="Y15">
        <f>ROUND(Y13*Y11,0)</f>
        <v>1543555.0</v>
      </c>
      <c r="Z15">
        <f>ROUND(Z13*Z11,0)</f>
        <v>1608856.0</v>
      </c>
    </row>
    <row r="17">
      <c r="A17" t="inlineStr">
        <is>
          <t>Cumulative revenue</t>
        </is>
      </c>
      <c r="C17">
        <f>C15</f>
        <v>619653.0</v>
      </c>
      <c r="D17">
        <f>C17+D15</f>
        <v>1265557.0</v>
      </c>
      <c r="E17">
        <f>D17+E15</f>
        <v>1938812.0</v>
      </c>
      <c r="F17">
        <f>E17+F15</f>
        <v>2640546.0</v>
      </c>
      <c r="G17">
        <f>F17+G15</f>
        <v>3372058.0</v>
      </c>
      <c r="H17">
        <f>G17+H15</f>
        <v>4134603.0</v>
      </c>
      <c r="I17">
        <f>H17+I15</f>
        <v>4929364.0</v>
      </c>
      <c r="J17">
        <f>I17+J15</f>
        <v>5757806.0</v>
      </c>
      <c r="K17">
        <f>J17+K15</f>
        <v>6621321.0</v>
      </c>
      <c r="L17">
        <f>K17+L15</f>
        <v>7521514.0</v>
      </c>
      <c r="M17">
        <f>L17+M15</f>
        <v>8459829.0</v>
      </c>
      <c r="N17">
        <f>M17+N15</f>
        <v>9437815.0</v>
      </c>
      <c r="O17">
        <f>N17+O15</f>
        <v>10457251.0</v>
      </c>
      <c r="P17">
        <f>O17+P15</f>
        <v>11519828.0</v>
      </c>
      <c r="Q17">
        <f>P17+Q15</f>
        <v>12627392.0</v>
      </c>
      <c r="R17">
        <f>Q17+R15</f>
        <v>13781869.0</v>
      </c>
      <c r="S17">
        <f>R17+S15</f>
        <v>14985265.0</v>
      </c>
      <c r="T17">
        <f>S17+T15</f>
        <v>16239574.0</v>
      </c>
      <c r="U17">
        <f>T17+U15</f>
        <v>17547056.0</v>
      </c>
      <c r="V17">
        <f>U17+V15</f>
        <v>18909867.0</v>
      </c>
      <c r="W17">
        <f>V17+W15</f>
        <v>20330443.0</v>
      </c>
      <c r="X17">
        <f>W17+X15</f>
        <v>21811198.0</v>
      </c>
      <c r="Y17">
        <f>X17+Y15</f>
        <v>23354753.0</v>
      </c>
      <c r="Z17">
        <f>Y17+Z15</f>
        <v>24963609.0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18.0</v>
      </c>
      <c r="D5">
        <f>C5+Assumptions!$B$13</f>
        <v>21.0</v>
      </c>
      <c r="E5">
        <f>D5+Assumptions!$B$13</f>
        <v>24.0</v>
      </c>
      <c r="F5">
        <f>E5+Assumptions!$B$13</f>
        <v>27.0</v>
      </c>
      <c r="G5">
        <f>F5+Assumptions!$B$13</f>
        <v>30.0</v>
      </c>
      <c r="H5">
        <f>G5+Assumptions!$B$13</f>
        <v>33.0</v>
      </c>
      <c r="I5">
        <f>H5+Assumptions!$B$13</f>
        <v>36.0</v>
      </c>
      <c r="J5">
        <f>I5+Assumptions!$B$13</f>
        <v>39.0</v>
      </c>
      <c r="K5">
        <f>J5+Assumptions!$B$13</f>
        <v>42.0</v>
      </c>
      <c r="L5">
        <f>K5+Assumptions!$B$13</f>
        <v>45.0</v>
      </c>
      <c r="M5">
        <f>L5+Assumptions!$B$13</f>
        <v>48.0</v>
      </c>
      <c r="N5">
        <f>M5+Assumptions!$B$13</f>
        <v>51.0</v>
      </c>
      <c r="O5">
        <f>N5+Assumptions!$B$13</f>
        <v>54.0</v>
      </c>
      <c r="P5">
        <f>O5+Assumptions!$B$13</f>
        <v>57.0</v>
      </c>
      <c r="Q5">
        <f>P5+Assumptions!$B$13</f>
        <v>60.0</v>
      </c>
      <c r="R5">
        <f>Q5+Assumptions!$B$13</f>
        <v>63.0</v>
      </c>
      <c r="S5">
        <f>R5+Assumptions!$B$13</f>
        <v>66.0</v>
      </c>
      <c r="T5">
        <f>S5+Assumptions!$B$13</f>
        <v>69.0</v>
      </c>
      <c r="U5">
        <f>T5+Assumptions!$B$13</f>
        <v>72.0</v>
      </c>
      <c r="V5">
        <f>U5+Assumptions!$B$13</f>
        <v>75.0</v>
      </c>
      <c r="W5">
        <f>V5+Assumptions!$B$13</f>
        <v>78.0</v>
      </c>
      <c r="X5">
        <f>W5+Assumptions!$B$13</f>
        <v>81.0</v>
      </c>
      <c r="Y5">
        <f>X5+Assumptions!$B$13</f>
        <v>84.0</v>
      </c>
      <c r="Z5">
        <f>Y5+Assumptions!$B$13</f>
        <v>87.0</v>
      </c>
    </row>
    <row r="6">
      <c r="A6" t="inlineStr">
        <is>
          <t>Salary cost</t>
        </is>
      </c>
      <c r="C6">
        <f>ROUND(C5*Assumptions!$B$14/12,0)</f>
        <v>116250.0</v>
      </c>
      <c r="D6">
        <f>ROUND(D5*Assumptions!$B$14/12,0)</f>
        <v>135625.0</v>
      </c>
      <c r="E6">
        <f>ROUND(E5*Assumptions!$B$14/12,0)</f>
        <v>155000.0</v>
      </c>
      <c r="F6">
        <f>ROUND(F5*Assumptions!$B$14/12,0)</f>
        <v>174375.0</v>
      </c>
      <c r="G6">
        <f>ROUND(G5*Assumptions!$B$14/12,0)</f>
        <v>193750.0</v>
      </c>
      <c r="H6">
        <f>ROUND(H5*Assumptions!$B$14/12,0)</f>
        <v>213125.0</v>
      </c>
      <c r="I6">
        <f>ROUND(I5*Assumptions!$B$14/12,0)</f>
        <v>232500.0</v>
      </c>
      <c r="J6">
        <f>ROUND(J5*Assumptions!$B$14/12,0)</f>
        <v>251875.0</v>
      </c>
      <c r="K6">
        <f>ROUND(K5*Assumptions!$B$14/12,0)</f>
        <v>271250.0</v>
      </c>
      <c r="L6">
        <f>ROUND(L5*Assumptions!$B$14/12,0)</f>
        <v>290625.0</v>
      </c>
      <c r="M6">
        <f>ROUND(M5*Assumptions!$B$14/12,0)</f>
        <v>310000.0</v>
      </c>
      <c r="N6">
        <f>ROUND(N5*Assumptions!$B$14/12,0)</f>
        <v>329375.0</v>
      </c>
      <c r="O6">
        <f>ROUND(O5*Assumptions!$B$14/12,0)</f>
        <v>348750.0</v>
      </c>
      <c r="P6">
        <f>ROUND(P5*Assumptions!$B$14/12,0)</f>
        <v>368125.0</v>
      </c>
      <c r="Q6">
        <f>ROUND(Q5*Assumptions!$B$14/12,0)</f>
        <v>387500.0</v>
      </c>
      <c r="R6">
        <f>ROUND(R5*Assumptions!$B$14/12,0)</f>
        <v>406875.0</v>
      </c>
      <c r="S6">
        <f>ROUND(S5*Assumptions!$B$14/12,0)</f>
        <v>426250.0</v>
      </c>
      <c r="T6">
        <f>ROUND(T5*Assumptions!$B$14/12,0)</f>
        <v>445625.0</v>
      </c>
      <c r="U6">
        <f>ROUND(U5*Assumptions!$B$14/12,0)</f>
        <v>465000.0</v>
      </c>
      <c r="V6">
        <f>ROUND(V5*Assumptions!$B$14/12,0)</f>
        <v>484375.0</v>
      </c>
      <c r="W6">
        <f>ROUND(W5*Assumptions!$B$14/12,0)</f>
        <v>503750.0</v>
      </c>
      <c r="X6">
        <f>ROUND(X5*Assumptions!$B$14/12,0)</f>
        <v>523125.0</v>
      </c>
      <c r="Y6">
        <f>ROUND(Y5*Assumptions!$B$14/12,0)</f>
        <v>542500.0</v>
      </c>
      <c r="Z6">
        <f>ROUND(Z5*Assumptions!$B$14/12,0)</f>
        <v>561875.0</v>
      </c>
    </row>
    <row r="7">
      <c r="A7" t="inlineStr">
        <is>
          <t>Payroll tax</t>
        </is>
      </c>
      <c r="C7">
        <f>ROUND(C6*Assumptions!$B$15,0)</f>
        <v>12892.0</v>
      </c>
      <c r="D7">
        <f>ROUND(D6*Assumptions!$B$15,0)</f>
        <v>15041.0</v>
      </c>
      <c r="E7">
        <f>ROUND(E6*Assumptions!$B$15,0)</f>
        <v>17190.0</v>
      </c>
      <c r="F7">
        <f>ROUND(F6*Assumptions!$B$15,0)</f>
        <v>19338.0</v>
      </c>
      <c r="G7">
        <f>ROUND(G6*Assumptions!$B$15,0)</f>
        <v>21487.0</v>
      </c>
      <c r="H7">
        <f>ROUND(H6*Assumptions!$B$15,0)</f>
        <v>23636.0</v>
      </c>
      <c r="I7">
        <f>ROUND(I6*Assumptions!$B$15,0)</f>
        <v>25784.0</v>
      </c>
      <c r="J7">
        <f>ROUND(J6*Assumptions!$B$15,0)</f>
        <v>27933.0</v>
      </c>
      <c r="K7">
        <f>ROUND(K6*Assumptions!$B$15,0)</f>
        <v>30082.0</v>
      </c>
      <c r="L7">
        <f>ROUND(L6*Assumptions!$B$15,0)</f>
        <v>32230.0</v>
      </c>
      <c r="M7">
        <f>ROUND(M6*Assumptions!$B$15,0)</f>
        <v>34379.0</v>
      </c>
      <c r="N7">
        <f>ROUND(N6*Assumptions!$B$15,0)</f>
        <v>36528.0</v>
      </c>
      <c r="O7">
        <f>ROUND(O6*Assumptions!$B$15,0)</f>
        <v>38676.0</v>
      </c>
      <c r="P7">
        <f>ROUND(P6*Assumptions!$B$15,0)</f>
        <v>40825.0</v>
      </c>
      <c r="Q7">
        <f>ROUND(Q6*Assumptions!$B$15,0)</f>
        <v>42974.0</v>
      </c>
      <c r="R7">
        <f>ROUND(R6*Assumptions!$B$15,0)</f>
        <v>45122.0</v>
      </c>
      <c r="S7">
        <f>ROUND(S6*Assumptions!$B$15,0)</f>
        <v>47271.0</v>
      </c>
      <c r="T7">
        <f>ROUND(T6*Assumptions!$B$15,0)</f>
        <v>49420.0</v>
      </c>
      <c r="U7">
        <f>ROUND(U6*Assumptions!$B$15,0)</f>
        <v>51569.0</v>
      </c>
      <c r="V7">
        <f>ROUND(V6*Assumptions!$B$15,0)</f>
        <v>53717.0</v>
      </c>
      <c r="W7">
        <f>ROUND(W6*Assumptions!$B$15,0)</f>
        <v>55866.0</v>
      </c>
      <c r="X7">
        <f>ROUND(X6*Assumptions!$B$15,0)</f>
        <v>58015.0</v>
      </c>
      <c r="Y7">
        <f>ROUND(Y6*Assumptions!$B$15,0)</f>
        <v>60163.0</v>
      </c>
      <c r="Z7">
        <f>ROUND(Z6*Assumptions!$B$15,0)</f>
        <v>62312.0</v>
      </c>
    </row>
    <row r="8">
      <c r="A8" t="inlineStr">
        <is>
          <t>Total staff cost</t>
        </is>
      </c>
      <c r="C8">
        <f>C6+C7</f>
        <v>129142.0</v>
      </c>
      <c r="D8">
        <f>D6+D7</f>
        <v>150666.0</v>
      </c>
      <c r="E8">
        <f>E6+E7</f>
        <v>172190.0</v>
      </c>
      <c r="F8">
        <f>F6+F7</f>
        <v>193713.0</v>
      </c>
      <c r="G8">
        <f>G6+G7</f>
        <v>215237.0</v>
      </c>
      <c r="H8">
        <f>H6+H7</f>
        <v>236761.0</v>
      </c>
      <c r="I8">
        <f>I6+I7</f>
        <v>258284.0</v>
      </c>
      <c r="J8">
        <f>J6+J7</f>
        <v>279808.0</v>
      </c>
      <c r="K8">
        <f>K6+K7</f>
        <v>301332.0</v>
      </c>
      <c r="L8">
        <f>L6+L7</f>
        <v>322855.0</v>
      </c>
      <c r="M8">
        <f>M6+M7</f>
        <v>344379.0</v>
      </c>
      <c r="N8">
        <f>N6+N7</f>
        <v>365903.0</v>
      </c>
      <c r="O8">
        <f>O6+O7</f>
        <v>387426.0</v>
      </c>
      <c r="P8">
        <f>P6+P7</f>
        <v>408950.0</v>
      </c>
      <c r="Q8">
        <f>Q6+Q7</f>
        <v>430474.0</v>
      </c>
      <c r="R8">
        <f>R6+R7</f>
        <v>451997.0</v>
      </c>
      <c r="S8">
        <f>S6+S7</f>
        <v>473521.0</v>
      </c>
      <c r="T8">
        <f>T6+T7</f>
        <v>495045.0</v>
      </c>
      <c r="U8">
        <f>U6+U7</f>
        <v>516569.0</v>
      </c>
      <c r="V8">
        <f>V6+V7</f>
        <v>538092.0</v>
      </c>
      <c r="W8">
        <f>W6+W7</f>
        <v>559616.0</v>
      </c>
      <c r="X8">
        <f>X6+X7</f>
        <v>581140.0</v>
      </c>
      <c r="Y8">
        <f>Y6+Y7</f>
        <v>602663.0</v>
      </c>
      <c r="Z8">
        <f>Z6+Z7</f>
        <v>624187.0</v>
      </c>
    </row>
    <row r="10">
      <c r="A10" t="inlineStr">
        <is>
          <t>Cost of sales</t>
        </is>
      </c>
      <c r="C10">
        <f>ROUND(Revenue!C15*Assumptions!$B$11,0)</f>
        <v>131986.0</v>
      </c>
      <c r="D10">
        <f>ROUND(Revenue!D15*Assumptions!$B$11,0)</f>
        <v>137578.0</v>
      </c>
      <c r="E10">
        <f>ROUND(Revenue!E15*Assumptions!$B$11,0)</f>
        <v>143403.0</v>
      </c>
      <c r="F10">
        <f>ROUND(Revenue!F15*Assumptions!$B$11,0)</f>
        <v>149469.0</v>
      </c>
      <c r="G10">
        <f>ROUND(Revenue!G15*Assumptions!$B$11,0)</f>
        <v>155812.0</v>
      </c>
      <c r="H10">
        <f>ROUND(Revenue!H15*Assumptions!$B$11,0)</f>
        <v>162422.0</v>
      </c>
      <c r="I10">
        <f>ROUND(Revenue!I15*Assumptions!$B$11,0)</f>
        <v>169284.0</v>
      </c>
      <c r="J10">
        <f>ROUND(Revenue!J15*Assumptions!$B$11,0)</f>
        <v>176458.0</v>
      </c>
      <c r="K10">
        <f>ROUND(Revenue!K15*Assumptions!$B$11,0)</f>
        <v>183929.0</v>
      </c>
      <c r="L10">
        <f>ROUND(Revenue!L15*Assumptions!$B$11,0)</f>
        <v>191741.0</v>
      </c>
      <c r="M10">
        <f>ROUND(Revenue!M15*Assumptions!$B$11,0)</f>
        <v>199861.0</v>
      </c>
      <c r="N10">
        <f>ROUND(Revenue!N15*Assumptions!$B$11,0)</f>
        <v>208311.0</v>
      </c>
      <c r="O10">
        <f>ROUND(Revenue!O15*Assumptions!$B$11,0)</f>
        <v>217140.0</v>
      </c>
      <c r="P10">
        <f>ROUND(Revenue!P15*Assumptions!$B$11,0)</f>
        <v>226329.0</v>
      </c>
      <c r="Q10">
        <f>ROUND(Revenue!Q15*Assumptions!$B$11,0)</f>
        <v>235911.0</v>
      </c>
      <c r="R10">
        <f>ROUND(Revenue!R15*Assumptions!$B$11,0)</f>
        <v>245904.0</v>
      </c>
      <c r="S10">
        <f>ROUND(Revenue!S15*Assumptions!$B$11,0)</f>
        <v>256323.0</v>
      </c>
      <c r="T10">
        <f>ROUND(Revenue!T15*Assumptions!$B$11,0)</f>
        <v>267168.0</v>
      </c>
      <c r="U10">
        <f>ROUND(Revenue!U15*Assumptions!$B$11,0)</f>
        <v>278494.0</v>
      </c>
      <c r="V10">
        <f>ROUND(Revenue!V15*Assumptions!$B$11,0)</f>
        <v>290279.0</v>
      </c>
      <c r="W10">
        <f>ROUND(Revenue!W15*Assumptions!$B$11,0)</f>
        <v>302583.0</v>
      </c>
      <c r="X10">
        <f>ROUND(Revenue!X15*Assumptions!$B$11,0)</f>
        <v>315401.0</v>
      </c>
      <c r="Y10">
        <f>ROUND(Revenue!Y15*Assumptions!$B$11,0)</f>
        <v>328777.0</v>
      </c>
      <c r="Z10">
        <f>ROUND(Revenue!Z15*Assumptions!$B$11,0)</f>
        <v>342686.0</v>
      </c>
    </row>
    <row r="11">
      <c r="A11" t="inlineStr">
        <is>
          <t>Marketing</t>
        </is>
      </c>
      <c r="C11">
        <f>ROUND(Revenue!C15*Assumptions!$B$16,0)</f>
        <v>59301.0</v>
      </c>
      <c r="D11">
        <f>ROUND(Revenue!D15*Assumptions!$B$16,0)</f>
        <v>61813.0</v>
      </c>
      <c r="E11">
        <f>ROUND(Revenue!E15*Assumptions!$B$16,0)</f>
        <v>64431.0</v>
      </c>
      <c r="F11">
        <f>ROUND(Revenue!F15*Assumptions!$B$16,0)</f>
        <v>67156.0</v>
      </c>
      <c r="G11">
        <f>ROUND(Revenue!G15*Assumptions!$B$16,0)</f>
        <v>70006.0</v>
      </c>
      <c r="H11">
        <f>ROUND(Revenue!H15*Assumptions!$B$16,0)</f>
        <v>72976.0</v>
      </c>
      <c r="I11">
        <f>ROUND(Revenue!I15*Assumptions!$B$16,0)</f>
        <v>76059.0</v>
      </c>
      <c r="J11">
        <f>ROUND(Revenue!J15*Assumptions!$B$16,0)</f>
        <v>79282.0</v>
      </c>
      <c r="K11">
        <f>ROUND(Revenue!K15*Assumptions!$B$16,0)</f>
        <v>82638.0</v>
      </c>
      <c r="L11">
        <f>ROUND(Revenue!L15*Assumptions!$B$16,0)</f>
        <v>86148.0</v>
      </c>
      <c r="M11">
        <f>ROUND(Revenue!M15*Assumptions!$B$16,0)</f>
        <v>89797.0</v>
      </c>
      <c r="N11">
        <f>ROUND(Revenue!N15*Assumptions!$B$16,0)</f>
        <v>93593.0</v>
      </c>
      <c r="O11">
        <f>ROUND(Revenue!O15*Assumptions!$B$16,0)</f>
        <v>97560.0</v>
      </c>
      <c r="P11">
        <f>ROUND(Revenue!P15*Assumptions!$B$16,0)</f>
        <v>101689.0</v>
      </c>
      <c r="Q11">
        <f>ROUND(Revenue!Q15*Assumptions!$B$16,0)</f>
        <v>105994.0</v>
      </c>
      <c r="R11">
        <f>ROUND(Revenue!R15*Assumptions!$B$16,0)</f>
        <v>110483.0</v>
      </c>
      <c r="S11">
        <f>ROUND(Revenue!S15*Assumptions!$B$16,0)</f>
        <v>115165.0</v>
      </c>
      <c r="T11">
        <f>ROUND(Revenue!T15*Assumptions!$B$16,0)</f>
        <v>120037.0</v>
      </c>
      <c r="U11">
        <f>ROUND(Revenue!U15*Assumptions!$B$16,0)</f>
        <v>125126.0</v>
      </c>
      <c r="V11">
        <f>ROUND(Revenue!V15*Assumptions!$B$16,0)</f>
        <v>130421.0</v>
      </c>
      <c r="W11">
        <f>ROUND(Revenue!W15*Assumptions!$B$16,0)</f>
        <v>135949.0</v>
      </c>
      <c r="X11">
        <f>ROUND(Revenue!X15*Assumptions!$B$16,0)</f>
        <v>141708.0</v>
      </c>
      <c r="Y11">
        <f>ROUND(Revenue!Y15*Assumptions!$B$16,0)</f>
        <v>147718.0</v>
      </c>
      <c r="Z11">
        <f>ROUND(Revenue!Z15*Assumptions!$B$16,0)</f>
        <v>153968.0</v>
      </c>
    </row>
    <row r="12">
      <c r="A12" t="inlineStr">
        <is>
          <t>Overhead</t>
        </is>
      </c>
      <c r="C12">
        <f>ROUND(Assumptions!$B$17,0)</f>
        <v>32500.0</v>
      </c>
      <c r="D12">
        <f>ROUND(C12*(1+Assumptions!$B$18),0)</f>
        <v>32689.0</v>
      </c>
      <c r="E12">
        <f>ROUND(D12*(1+Assumptions!$B$18),0)</f>
        <v>32879.0</v>
      </c>
      <c r="F12">
        <f>ROUND(E12*(1+Assumptions!$B$18),0)</f>
        <v>33070.0</v>
      </c>
      <c r="G12">
        <f>ROUND(F12*(1+Assumptions!$B$18),0)</f>
        <v>33262.0</v>
      </c>
      <c r="H12">
        <f>ROUND(G12*(1+Assumptions!$B$18),0)</f>
        <v>33455.0</v>
      </c>
      <c r="I12">
        <f>ROUND(H12*(1+Assumptions!$B$18),0)</f>
        <v>33649.0</v>
      </c>
      <c r="J12">
        <f>ROUND(I12*(1+Assumptions!$B$18),0)</f>
        <v>33844.0</v>
      </c>
      <c r="K12">
        <f>ROUND(J12*(1+Assumptions!$B$18),0)</f>
        <v>34040.0</v>
      </c>
      <c r="L12">
        <f>ROUND(K12*(1+Assumptions!$B$18),0)</f>
        <v>34237.0</v>
      </c>
      <c r="M12">
        <f>ROUND(L12*(1+Assumptions!$B$18),0)</f>
        <v>34436.0</v>
      </c>
      <c r="N12">
        <f>ROUND(M12*(1+Assumptions!$B$18),0)</f>
        <v>34636.0</v>
      </c>
      <c r="O12">
        <f>ROUND(N12*(1+Assumptions!$B$18),0)</f>
        <v>34837.0</v>
      </c>
      <c r="P12">
        <f>ROUND(O12*(1+Assumptions!$B$18),0)</f>
        <v>35039.0</v>
      </c>
      <c r="Q12">
        <f>ROUND(P12*(1+Assumptions!$B$18),0)</f>
        <v>35242.0</v>
      </c>
      <c r="R12">
        <f>ROUND(Q12*(1+Assumptions!$B$18),0)</f>
        <v>35446.0</v>
      </c>
      <c r="S12">
        <f>ROUND(R12*(1+Assumptions!$B$18),0)</f>
        <v>35652.0</v>
      </c>
      <c r="T12">
        <f>ROUND(S12*(1+Assumptions!$B$18),0)</f>
        <v>35859.0</v>
      </c>
      <c r="U12">
        <f>ROUND(T12*(1+Assumptions!$B$18),0)</f>
        <v>36067.0</v>
      </c>
      <c r="V12">
        <f>ROUND(U12*(1+Assumptions!$B$18),0)</f>
        <v>36276.0</v>
      </c>
      <c r="W12">
        <f>ROUND(V12*(1+Assumptions!$B$18),0)</f>
        <v>36486.0</v>
      </c>
      <c r="X12">
        <f>ROUND(W12*(1+Assumptions!$B$18),0)</f>
        <v>36698.0</v>
      </c>
      <c r="Y12">
        <f>ROUND(X12*(1+Assumptions!$B$18),0)</f>
        <v>36911.0</v>
      </c>
      <c r="Z12">
        <f>ROUND(Y12*(1+Assumptions!$B$18),0)</f>
        <v>37125.0</v>
      </c>
    </row>
    <row r="14">
      <c r="A14" t="inlineStr">
        <is>
          <t>Total costs</t>
        </is>
      </c>
      <c r="C14">
        <f>C8+C10+C11+C12</f>
        <v>352929.0</v>
      </c>
      <c r="D14">
        <f>D8+D10+D11+D12</f>
        <v>382746.0</v>
      </c>
      <c r="E14">
        <f>E8+E10+E11+E12</f>
        <v>412903.0</v>
      </c>
      <c r="F14">
        <f>F8+F10+F11+F12</f>
        <v>443408.0</v>
      </c>
      <c r="G14">
        <f>G8+G10+G11+G12</f>
        <v>474317.0</v>
      </c>
      <c r="H14">
        <f>H8+H10+H11+H12</f>
        <v>505614.0</v>
      </c>
      <c r="I14">
        <f>I8+I10+I11+I12</f>
        <v>537276.0</v>
      </c>
      <c r="J14">
        <f>J8+J10+J11+J12</f>
        <v>569392.0</v>
      </c>
      <c r="K14">
        <f>K8+K10+K11+K12</f>
        <v>601939.0</v>
      </c>
      <c r="L14">
        <f>L8+L10+L11+L12</f>
        <v>634981.0</v>
      </c>
      <c r="M14">
        <f>M8+M10+M11+M12</f>
        <v>668473.0</v>
      </c>
      <c r="N14">
        <f>N8+N10+N11+N12</f>
        <v>702443.0</v>
      </c>
      <c r="O14">
        <f>O8+O10+O11+O12</f>
        <v>736963.0</v>
      </c>
      <c r="P14">
        <f>P8+P10+P11+P12</f>
        <v>772007.0</v>
      </c>
      <c r="Q14">
        <f>Q8+Q10+Q11+Q12</f>
        <v>807621.0</v>
      </c>
      <c r="R14">
        <f>R8+R10+R11+R12</f>
        <v>843830.0</v>
      </c>
      <c r="S14">
        <f>S8+S10+S11+S12</f>
        <v>880661.0</v>
      </c>
      <c r="T14">
        <f>T8+T10+T11+T12</f>
        <v>918109.0</v>
      </c>
      <c r="U14">
        <f>U8+U10+U11+U12</f>
        <v>956256.0</v>
      </c>
      <c r="V14">
        <f>V8+V10+V11+V12</f>
        <v>995068.0</v>
      </c>
      <c r="W14">
        <f>W8+W10+W11+W12</f>
        <v>1034634.0</v>
      </c>
      <c r="X14">
        <f>X8+X10+X11+X12</f>
        <v>1074947.0</v>
      </c>
      <c r="Y14">
        <f>Y8+Y10+Y11+Y12</f>
        <v>1116069.0</v>
      </c>
      <c r="Z14">
        <f>Z8+Z10+Z11+Z12</f>
        <v>1157966.0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619653.0</v>
      </c>
      <c r="D5">
        <f>Revenue!D15</f>
        <v>645904.0</v>
      </c>
      <c r="E5">
        <f>Revenue!E15</f>
        <v>673255.0</v>
      </c>
      <c r="F5">
        <f>Revenue!F15</f>
        <v>701734.0</v>
      </c>
      <c r="G5">
        <f>Revenue!G15</f>
        <v>731512.0</v>
      </c>
      <c r="H5">
        <f>Revenue!H15</f>
        <v>762545.0</v>
      </c>
      <c r="I5">
        <f>Revenue!I15</f>
        <v>794761.0</v>
      </c>
      <c r="J5">
        <f>Revenue!J15</f>
        <v>828442.0</v>
      </c>
      <c r="K5">
        <f>Revenue!K15</f>
        <v>863515.0</v>
      </c>
      <c r="L5">
        <f>Revenue!L15</f>
        <v>900193.0</v>
      </c>
      <c r="M5">
        <f>Revenue!M15</f>
        <v>938315.0</v>
      </c>
      <c r="N5">
        <f>Revenue!N15</f>
        <v>977986.0</v>
      </c>
      <c r="O5">
        <f>Revenue!O15</f>
        <v>1019436.0</v>
      </c>
      <c r="P5">
        <f>Revenue!P15</f>
        <v>1062577.0</v>
      </c>
      <c r="Q5">
        <f>Revenue!Q15</f>
        <v>1107564.0</v>
      </c>
      <c r="R5">
        <f>Revenue!R15</f>
        <v>1154477.0</v>
      </c>
      <c r="S5">
        <f>Revenue!S15</f>
        <v>1203396.0</v>
      </c>
      <c r="T5">
        <f>Revenue!T15</f>
        <v>1254309.0</v>
      </c>
      <c r="U5">
        <f>Revenue!U15</f>
        <v>1307482.0</v>
      </c>
      <c r="V5">
        <f>Revenue!V15</f>
        <v>1362811.0</v>
      </c>
      <c r="W5">
        <f>Revenue!W15</f>
        <v>1420576.0</v>
      </c>
      <c r="X5">
        <f>Revenue!X15</f>
        <v>1480755.0</v>
      </c>
      <c r="Y5">
        <f>Revenue!Y15</f>
        <v>1543555.0</v>
      </c>
      <c r="Z5">
        <f>Revenue!Z15</f>
        <v>1608856.0</v>
      </c>
      <c r="AA5">
        <f>SUM(C5:Z5)</f>
        <v>24963609.0</v>
      </c>
    </row>
    <row r="6">
      <c r="A6" t="inlineStr">
        <is>
          <t>Cost of sales</t>
        </is>
      </c>
      <c r="C6">
        <f>-Costs!C10</f>
        <v>-131986.0</v>
      </c>
      <c r="D6">
        <f>-Costs!D10</f>
        <v>-137578.0</v>
      </c>
      <c r="E6">
        <f>-Costs!E10</f>
        <v>-143403.0</v>
      </c>
      <c r="F6">
        <f>-Costs!F10</f>
        <v>-149469.0</v>
      </c>
      <c r="G6">
        <f>-Costs!G10</f>
        <v>-155812.0</v>
      </c>
      <c r="H6">
        <f>-Costs!H10</f>
        <v>-162422.0</v>
      </c>
      <c r="I6">
        <f>-Costs!I10</f>
        <v>-169284.0</v>
      </c>
      <c r="J6">
        <f>-Costs!J10</f>
        <v>-176458.0</v>
      </c>
      <c r="K6">
        <f>-Costs!K10</f>
        <v>-183929.0</v>
      </c>
      <c r="L6">
        <f>-Costs!L10</f>
        <v>-191741.0</v>
      </c>
      <c r="M6">
        <f>-Costs!M10</f>
        <v>-199861.0</v>
      </c>
      <c r="N6">
        <f>-Costs!N10</f>
        <v>-208311.0</v>
      </c>
      <c r="O6">
        <f>-Costs!O10</f>
        <v>-217140.0</v>
      </c>
      <c r="P6">
        <f>-Costs!P10</f>
        <v>-226329.0</v>
      </c>
      <c r="Q6">
        <f>-Costs!Q10</f>
        <v>-235911.0</v>
      </c>
      <c r="R6">
        <f>-Costs!R10</f>
        <v>-245904.0</v>
      </c>
      <c r="S6">
        <f>-Costs!S10</f>
        <v>-256323.0</v>
      </c>
      <c r="T6">
        <f>-Costs!T10</f>
        <v>-267168.0</v>
      </c>
      <c r="U6">
        <f>-Costs!U10</f>
        <v>-278494.0</v>
      </c>
      <c r="V6">
        <f>-Costs!V10</f>
        <v>-290279.0</v>
      </c>
      <c r="W6">
        <f>-Costs!W10</f>
        <v>-302583.0</v>
      </c>
      <c r="X6">
        <f>-Costs!X10</f>
        <v>-315401.0</v>
      </c>
      <c r="Y6">
        <f>-Costs!Y10</f>
        <v>-328777.0</v>
      </c>
      <c r="Z6">
        <f>-Costs!Z10</f>
        <v>-342686.0</v>
      </c>
      <c r="AA6">
        <f>SUM(C6:Z6)</f>
        <v>-5317249.0</v>
      </c>
    </row>
    <row r="7">
      <c r="A7" t="inlineStr">
        <is>
          <t>Gross profit</t>
        </is>
      </c>
      <c r="C7">
        <f>C5+C6</f>
        <v>487667.0</v>
      </c>
      <c r="D7">
        <f>D5+D6</f>
        <v>508326.0</v>
      </c>
      <c r="E7">
        <f>E5+E6</f>
        <v>529852.0</v>
      </c>
      <c r="F7">
        <f>F5+F6</f>
        <v>552265.0</v>
      </c>
      <c r="G7">
        <f>G5+G6</f>
        <v>575700.0</v>
      </c>
      <c r="H7">
        <f>H5+H6</f>
        <v>600123.0</v>
      </c>
      <c r="I7">
        <f>I5+I6</f>
        <v>625477.0</v>
      </c>
      <c r="J7">
        <f>J5+J6</f>
        <v>651984.0</v>
      </c>
      <c r="K7">
        <f>K5+K6</f>
        <v>679586.0</v>
      </c>
      <c r="L7">
        <f>L5+L6</f>
        <v>708452.0</v>
      </c>
      <c r="M7">
        <f>M5+M6</f>
        <v>738454.0</v>
      </c>
      <c r="N7">
        <f>N5+N6</f>
        <v>769675.0</v>
      </c>
      <c r="O7">
        <f>O5+O6</f>
        <v>802296.0</v>
      </c>
      <c r="P7">
        <f>P5+P6</f>
        <v>836248.0</v>
      </c>
      <c r="Q7">
        <f>Q5+Q6</f>
        <v>871653.0</v>
      </c>
      <c r="R7">
        <f>R5+R6</f>
        <v>908573.0</v>
      </c>
      <c r="S7">
        <f>S5+S6</f>
        <v>947073.0</v>
      </c>
      <c r="T7">
        <f>T5+T6</f>
        <v>987141.0</v>
      </c>
      <c r="U7">
        <f>U5+U6</f>
        <v>1028988.0</v>
      </c>
      <c r="V7">
        <f>V5+V6</f>
        <v>1072532.0</v>
      </c>
      <c r="W7">
        <f>W5+W6</f>
        <v>1117993.0</v>
      </c>
      <c r="X7">
        <f>X5+X6</f>
        <v>1165354.0</v>
      </c>
      <c r="Y7">
        <f>Y5+Y6</f>
        <v>1214778.0</v>
      </c>
      <c r="Z7">
        <f>Z5+Z6</f>
        <v>1266170.0</v>
      </c>
      <c r="AA7">
        <f>SUM(C7:Z7)</f>
        <v>19646360.0</v>
      </c>
    </row>
    <row r="8">
      <c r="A8" t="inlineStr">
        <is>
          <t>Gross margin</t>
        </is>
      </c>
      <c r="C8">
        <f>IF(C5=0,0,ROUND(C7/C5,4))</f>
        <v>0.787</v>
      </c>
      <c r="D8">
        <f>IF(D5=0,0,ROUND(D7/D5,4))</f>
        <v>0.787</v>
      </c>
      <c r="E8">
        <f>IF(E5=0,0,ROUND(E7/E5,4))</f>
        <v>0.787</v>
      </c>
      <c r="F8">
        <f>IF(F5=0,0,ROUND(F7/F5,4))</f>
        <v>0.787</v>
      </c>
      <c r="G8">
        <f>IF(G5=0,0,ROUND(G7/G5,4))</f>
        <v>0.787</v>
      </c>
      <c r="H8">
        <f>IF(H5=0,0,ROUND(H7/H5,4))</f>
        <v>0.787</v>
      </c>
      <c r="I8">
        <f>IF(I5=0,0,ROUND(I7/I5,4))</f>
        <v>0.787</v>
      </c>
      <c r="J8">
        <f>IF(J5=0,0,ROUND(J7/J5,4))</f>
        <v>0.787</v>
      </c>
      <c r="K8">
        <f>IF(K5=0,0,ROUND(K7/K5,4))</f>
        <v>0.787</v>
      </c>
      <c r="L8">
        <f>IF(L5=0,0,ROUND(L7/L5,4))</f>
        <v>0.787</v>
      </c>
      <c r="M8">
        <f>IF(M5=0,0,ROUND(M7/M5,4))</f>
        <v>0.787</v>
      </c>
      <c r="N8">
        <f>IF(N5=0,0,ROUND(N7/N5,4))</f>
        <v>0.787</v>
      </c>
      <c r="O8">
        <f>IF(O5=0,0,ROUND(O7/O5,4))</f>
        <v>0.787</v>
      </c>
      <c r="P8">
        <f>IF(P5=0,0,ROUND(P7/P5,4))</f>
        <v>0.787</v>
      </c>
      <c r="Q8">
        <f>IF(Q5=0,0,ROUND(Q7/Q5,4))</f>
        <v>0.787</v>
      </c>
      <c r="R8">
        <f>IF(R5=0,0,ROUND(R7/R5,4))</f>
        <v>0.787</v>
      </c>
      <c r="S8">
        <f>IF(S5=0,0,ROUND(S7/S5,4))</f>
        <v>0.787</v>
      </c>
      <c r="T8">
        <f>IF(T5=0,0,ROUND(T7/T5,4))</f>
        <v>0.787</v>
      </c>
      <c r="U8">
        <f>IF(U5=0,0,ROUND(U7/U5,4))</f>
        <v>0.787</v>
      </c>
      <c r="V8">
        <f>IF(V5=0,0,ROUND(V7/V5,4))</f>
        <v>0.787</v>
      </c>
      <c r="W8">
        <f>IF(W5=0,0,ROUND(W7/W5,4))</f>
        <v>0.787</v>
      </c>
      <c r="X8">
        <f>IF(X5=0,0,ROUND(X7/X5,4))</f>
        <v>0.787</v>
      </c>
      <c r="Y8">
        <f>IF(Y5=0,0,ROUND(Y7/Y5,4))</f>
        <v>0.787</v>
      </c>
      <c r="Z8">
        <f>IF(Z5=0,0,ROUND(Z7/Z5,4))</f>
        <v>0.787</v>
      </c>
    </row>
    <row r="10">
      <c r="A10" t="inlineStr">
        <is>
          <t>Staff costs</t>
        </is>
      </c>
      <c r="C10">
        <f>-Costs!C8</f>
        <v>-129142.0</v>
      </c>
      <c r="D10">
        <f>-Costs!D8</f>
        <v>-150666.0</v>
      </c>
      <c r="E10">
        <f>-Costs!E8</f>
        <v>-172190.0</v>
      </c>
      <c r="F10">
        <f>-Costs!F8</f>
        <v>-193713.0</v>
      </c>
      <c r="G10">
        <f>-Costs!G8</f>
        <v>-215237.0</v>
      </c>
      <c r="H10">
        <f>-Costs!H8</f>
        <v>-236761.0</v>
      </c>
      <c r="I10">
        <f>-Costs!I8</f>
        <v>-258284.0</v>
      </c>
      <c r="J10">
        <f>-Costs!J8</f>
        <v>-279808.0</v>
      </c>
      <c r="K10">
        <f>-Costs!K8</f>
        <v>-301332.0</v>
      </c>
      <c r="L10">
        <f>-Costs!L8</f>
        <v>-322855.0</v>
      </c>
      <c r="M10">
        <f>-Costs!M8</f>
        <v>-344379.0</v>
      </c>
      <c r="N10">
        <f>-Costs!N8</f>
        <v>-365903.0</v>
      </c>
      <c r="O10">
        <f>-Costs!O8</f>
        <v>-387426.0</v>
      </c>
      <c r="P10">
        <f>-Costs!P8</f>
        <v>-408950.0</v>
      </c>
      <c r="Q10">
        <f>-Costs!Q8</f>
        <v>-430474.0</v>
      </c>
      <c r="R10">
        <f>-Costs!R8</f>
        <v>-451997.0</v>
      </c>
      <c r="S10">
        <f>-Costs!S8</f>
        <v>-473521.0</v>
      </c>
      <c r="T10">
        <f>-Costs!T8</f>
        <v>-495045.0</v>
      </c>
      <c r="U10">
        <f>-Costs!U8</f>
        <v>-516569.0</v>
      </c>
      <c r="V10">
        <f>-Costs!V8</f>
        <v>-538092.0</v>
      </c>
      <c r="W10">
        <f>-Costs!W8</f>
        <v>-559616.0</v>
      </c>
      <c r="X10">
        <f>-Costs!X8</f>
        <v>-581140.0</v>
      </c>
      <c r="Y10">
        <f>-Costs!Y8</f>
        <v>-602663.0</v>
      </c>
      <c r="Z10">
        <f>-Costs!Z8</f>
        <v>-624187.0</v>
      </c>
      <c r="AA10">
        <f>SUM(C10:Z10)</f>
        <v>-9039950.0</v>
      </c>
    </row>
    <row r="11">
      <c r="A11" t="inlineStr">
        <is>
          <t>Marketing</t>
        </is>
      </c>
      <c r="C11">
        <f>-Costs!C11</f>
        <v>-59301.0</v>
      </c>
      <c r="D11">
        <f>-Costs!D11</f>
        <v>-61813.0</v>
      </c>
      <c r="E11">
        <f>-Costs!E11</f>
        <v>-64431.0</v>
      </c>
      <c r="F11">
        <f>-Costs!F11</f>
        <v>-67156.0</v>
      </c>
      <c r="G11">
        <f>-Costs!G11</f>
        <v>-70006.0</v>
      </c>
      <c r="H11">
        <f>-Costs!H11</f>
        <v>-72976.0</v>
      </c>
      <c r="I11">
        <f>-Costs!I11</f>
        <v>-76059.0</v>
      </c>
      <c r="J11">
        <f>-Costs!J11</f>
        <v>-79282.0</v>
      </c>
      <c r="K11">
        <f>-Costs!K11</f>
        <v>-82638.0</v>
      </c>
      <c r="L11">
        <f>-Costs!L11</f>
        <v>-86148.0</v>
      </c>
      <c r="M11">
        <f>-Costs!M11</f>
        <v>-89797.0</v>
      </c>
      <c r="N11">
        <f>-Costs!N11</f>
        <v>-93593.0</v>
      </c>
      <c r="O11">
        <f>-Costs!O11</f>
        <v>-97560.0</v>
      </c>
      <c r="P11">
        <f>-Costs!P11</f>
        <v>-101689.0</v>
      </c>
      <c r="Q11">
        <f>-Costs!Q11</f>
        <v>-105994.0</v>
      </c>
      <c r="R11">
        <f>-Costs!R11</f>
        <v>-110483.0</v>
      </c>
      <c r="S11">
        <f>-Costs!S11</f>
        <v>-115165.0</v>
      </c>
      <c r="T11">
        <f>-Costs!T11</f>
        <v>-120037.0</v>
      </c>
      <c r="U11">
        <f>-Costs!U11</f>
        <v>-125126.0</v>
      </c>
      <c r="V11">
        <f>-Costs!V11</f>
        <v>-130421.0</v>
      </c>
      <c r="W11">
        <f>-Costs!W11</f>
        <v>-135949.0</v>
      </c>
      <c r="X11">
        <f>-Costs!X11</f>
        <v>-141708.0</v>
      </c>
      <c r="Y11">
        <f>-Costs!Y11</f>
        <v>-147718.0</v>
      </c>
      <c r="Z11">
        <f>-Costs!Z11</f>
        <v>-153968.0</v>
      </c>
      <c r="AA11">
        <f>SUM(C11:Z11)</f>
        <v>-2389018.0</v>
      </c>
    </row>
    <row r="12">
      <c r="A12" t="inlineStr">
        <is>
          <t>Overhead</t>
        </is>
      </c>
      <c r="C12">
        <f>-Costs!C12</f>
        <v>-32500.0</v>
      </c>
      <c r="D12">
        <f>-Costs!D12</f>
        <v>-32689.0</v>
      </c>
      <c r="E12">
        <f>-Costs!E12</f>
        <v>-32879.0</v>
      </c>
      <c r="F12">
        <f>-Costs!F12</f>
        <v>-33070.0</v>
      </c>
      <c r="G12">
        <f>-Costs!G12</f>
        <v>-33262.0</v>
      </c>
      <c r="H12">
        <f>-Costs!H12</f>
        <v>-33455.0</v>
      </c>
      <c r="I12">
        <f>-Costs!I12</f>
        <v>-33649.0</v>
      </c>
      <c r="J12">
        <f>-Costs!J12</f>
        <v>-33844.0</v>
      </c>
      <c r="K12">
        <f>-Costs!K12</f>
        <v>-34040.0</v>
      </c>
      <c r="L12">
        <f>-Costs!L12</f>
        <v>-34237.0</v>
      </c>
      <c r="M12">
        <f>-Costs!M12</f>
        <v>-34436.0</v>
      </c>
      <c r="N12">
        <f>-Costs!N12</f>
        <v>-34636.0</v>
      </c>
      <c r="O12">
        <f>-Costs!O12</f>
        <v>-34837.0</v>
      </c>
      <c r="P12">
        <f>-Costs!P12</f>
        <v>-35039.0</v>
      </c>
      <c r="Q12">
        <f>-Costs!Q12</f>
        <v>-35242.0</v>
      </c>
      <c r="R12">
        <f>-Costs!R12</f>
        <v>-35446.0</v>
      </c>
      <c r="S12">
        <f>-Costs!S12</f>
        <v>-35652.0</v>
      </c>
      <c r="T12">
        <f>-Costs!T12</f>
        <v>-35859.0</v>
      </c>
      <c r="U12">
        <f>-Costs!U12</f>
        <v>-36067.0</v>
      </c>
      <c r="V12">
        <f>-Costs!V12</f>
        <v>-36276.0</v>
      </c>
      <c r="W12">
        <f>-Costs!W12</f>
        <v>-36486.0</v>
      </c>
      <c r="X12">
        <f>-Costs!X12</f>
        <v>-36698.0</v>
      </c>
      <c r="Y12">
        <f>-Costs!Y12</f>
        <v>-36911.0</v>
      </c>
      <c r="Z12">
        <f>-Costs!Z12</f>
        <v>-37125.0</v>
      </c>
      <c r="AA12">
        <f>SUM(C12:Z12)</f>
        <v>-834335.0</v>
      </c>
    </row>
    <row r="13">
      <c r="A13" t="inlineStr">
        <is>
          <t>Total operating costs</t>
        </is>
      </c>
      <c r="C13">
        <f>C10+C11+C12</f>
        <v>-220943.0</v>
      </c>
      <c r="D13">
        <f>D10+D11+D12</f>
        <v>-245168.0</v>
      </c>
      <c r="E13">
        <f>E10+E11+E12</f>
        <v>-269500.0</v>
      </c>
      <c r="F13">
        <f>F10+F11+F12</f>
        <v>-293939.0</v>
      </c>
      <c r="G13">
        <f>G10+G11+G12</f>
        <v>-318505.0</v>
      </c>
      <c r="H13">
        <f>H10+H11+H12</f>
        <v>-343192.0</v>
      </c>
      <c r="I13">
        <f>I10+I11+I12</f>
        <v>-367992.0</v>
      </c>
      <c r="J13">
        <f>J10+J11+J12</f>
        <v>-392934.0</v>
      </c>
      <c r="K13">
        <f>K10+K11+K12</f>
        <v>-418010.0</v>
      </c>
      <c r="L13">
        <f>L10+L11+L12</f>
        <v>-443240.0</v>
      </c>
      <c r="M13">
        <f>M10+M11+M12</f>
        <v>-468612.0</v>
      </c>
      <c r="N13">
        <f>N10+N11+N12</f>
        <v>-494132.0</v>
      </c>
      <c r="O13">
        <f>O10+O11+O12</f>
        <v>-519823.0</v>
      </c>
      <c r="P13">
        <f>P10+P11+P12</f>
        <v>-545678.0</v>
      </c>
      <c r="Q13">
        <f>Q10+Q11+Q12</f>
        <v>-571710.0</v>
      </c>
      <c r="R13">
        <f>R10+R11+R12</f>
        <v>-597926.0</v>
      </c>
      <c r="S13">
        <f>S10+S11+S12</f>
        <v>-624338.0</v>
      </c>
      <c r="T13">
        <f>T10+T11+T12</f>
        <v>-650941.0</v>
      </c>
      <c r="U13">
        <f>U10+U11+U12</f>
        <v>-677762.0</v>
      </c>
      <c r="V13">
        <f>V10+V11+V12</f>
        <v>-704789.0</v>
      </c>
      <c r="W13">
        <f>W10+W11+W12</f>
        <v>-732051.0</v>
      </c>
      <c r="X13">
        <f>X10+X11+X12</f>
        <v>-759546.0</v>
      </c>
      <c r="Y13">
        <f>Y10+Y11+Y12</f>
        <v>-787292.0</v>
      </c>
      <c r="Z13">
        <f>Z10+Z11+Z12</f>
        <v>-815280.0</v>
      </c>
      <c r="AA13">
        <f>SUM(C13:Z13)</f>
        <v>-12263303.0</v>
      </c>
    </row>
    <row r="15">
      <c r="A15" t="inlineStr">
        <is>
          <t>EBITDA</t>
        </is>
      </c>
      <c r="C15">
        <f>C7+C13</f>
        <v>266724.0</v>
      </c>
      <c r="D15">
        <f>D7+D13</f>
        <v>263158.0</v>
      </c>
      <c r="E15">
        <f>E7+E13</f>
        <v>260352.0</v>
      </c>
      <c r="F15">
        <f>F7+F13</f>
        <v>258326.0</v>
      </c>
      <c r="G15">
        <f>G7+G13</f>
        <v>257195.0</v>
      </c>
      <c r="H15">
        <f>H7+H13</f>
        <v>256931.0</v>
      </c>
      <c r="I15">
        <f>I7+I13</f>
        <v>257485.0</v>
      </c>
      <c r="J15">
        <f>J7+J13</f>
        <v>259050.0</v>
      </c>
      <c r="K15">
        <f>K7+K13</f>
        <v>261576.0</v>
      </c>
      <c r="L15">
        <f>L7+L13</f>
        <v>265212.0</v>
      </c>
      <c r="M15">
        <f>M7+M13</f>
        <v>269842.0</v>
      </c>
      <c r="N15">
        <f>N7+N13</f>
        <v>275543.0</v>
      </c>
      <c r="O15">
        <f>O7+O13</f>
        <v>282473.0</v>
      </c>
      <c r="P15">
        <f>P7+P13</f>
        <v>290570.0</v>
      </c>
      <c r="Q15">
        <f>Q7+Q13</f>
        <v>299943.0</v>
      </c>
      <c r="R15">
        <f>R7+R13</f>
        <v>310647.0</v>
      </c>
      <c r="S15">
        <f>S7+S13</f>
        <v>322735.0</v>
      </c>
      <c r="T15">
        <f>T7+T13</f>
        <v>336200.0</v>
      </c>
      <c r="U15">
        <f>U7+U13</f>
        <v>351226.0</v>
      </c>
      <c r="V15">
        <f>V7+V13</f>
        <v>367743.0</v>
      </c>
      <c r="W15">
        <f>W7+W13</f>
        <v>385942.0</v>
      </c>
      <c r="X15">
        <f>X7+X13</f>
        <v>405808.0</v>
      </c>
      <c r="Y15">
        <f>Y7+Y13</f>
        <v>427486.0</v>
      </c>
      <c r="Z15">
        <f>Z7+Z13</f>
        <v>450890.0</v>
      </c>
      <c r="AA15">
        <f>SUM(C15:Z15)</f>
        <v>7383057.0</v>
      </c>
    </row>
    <row r="16">
      <c r="A16" t="inlineStr">
        <is>
          <t>EBITDA margin</t>
        </is>
      </c>
      <c r="C16">
        <f>IF(C5=0,0,ROUND(C15/C5,4))</f>
        <v>0.4304</v>
      </c>
      <c r="D16">
        <f>IF(D5=0,0,ROUND(D15/D5,4))</f>
        <v>0.4074</v>
      </c>
      <c r="E16">
        <f>IF(E5=0,0,ROUND(E15/E5,4))</f>
        <v>0.3867</v>
      </c>
      <c r="F16">
        <f>IF(F5=0,0,ROUND(F15/F5,4))</f>
        <v>0.3681</v>
      </c>
      <c r="G16">
        <f>IF(G5=0,0,ROUND(G15/G5,4))</f>
        <v>0.3516</v>
      </c>
      <c r="H16">
        <f>IF(H5=0,0,ROUND(H15/H5,4))</f>
        <v>0.3369</v>
      </c>
      <c r="I16">
        <f>IF(I5=0,0,ROUND(I15/I5,4))</f>
        <v>0.324</v>
      </c>
      <c r="J16">
        <f>IF(J5=0,0,ROUND(J15/J5,4))</f>
        <v>0.3127</v>
      </c>
      <c r="K16">
        <f>IF(K5=0,0,ROUND(K15/K5,4))</f>
        <v>0.3029</v>
      </c>
      <c r="L16">
        <f>IF(L5=0,0,ROUND(L15/L5,4))</f>
        <v>0.2946</v>
      </c>
      <c r="M16">
        <f>IF(M5=0,0,ROUND(M15/M5,4))</f>
        <v>0.2876</v>
      </c>
      <c r="N16">
        <f>IF(N5=0,0,ROUND(N15/N5,4))</f>
        <v>0.2817</v>
      </c>
      <c r="O16">
        <f>IF(O5=0,0,ROUND(O15/O5,4))</f>
        <v>0.2771</v>
      </c>
      <c r="P16">
        <f>IF(P5=0,0,ROUND(P15/P5,4))</f>
        <v>0.2735</v>
      </c>
      <c r="Q16">
        <f>IF(Q5=0,0,ROUND(Q15/Q5,4))</f>
        <v>0.2708</v>
      </c>
      <c r="R16">
        <f>IF(R5=0,0,ROUND(R15/R5,4))</f>
        <v>0.2691</v>
      </c>
      <c r="S16">
        <f>IF(S5=0,0,ROUND(S15/S5,4))</f>
        <v>0.2682</v>
      </c>
      <c r="T16">
        <f>IF(T5=0,0,ROUND(T15/T5,4))</f>
        <v>0.268</v>
      </c>
      <c r="U16">
        <f>IF(U5=0,0,ROUND(U15/U5,4))</f>
        <v>0.2686</v>
      </c>
      <c r="V16">
        <f>IF(V5=0,0,ROUND(V15/V5,4))</f>
        <v>0.2698</v>
      </c>
      <c r="W16">
        <f>IF(W5=0,0,ROUND(W15/W5,4))</f>
        <v>0.2717</v>
      </c>
      <c r="X16">
        <f>IF(X5=0,0,ROUND(X15/X5,4))</f>
        <v>0.2741</v>
      </c>
      <c r="Y16">
        <f>IF(Y5=0,0,ROUND(Y15/Y5,4))</f>
        <v>0.2769</v>
      </c>
      <c r="Z16">
        <f>IF(Z5=0,0,ROUND(Z15/Z5,4))</f>
        <v>0.2803</v>
      </c>
    </row>
    <row r="18">
      <c r="A18" t="inlineStr">
        <is>
          <t>Cumulative EBITDA</t>
        </is>
      </c>
      <c r="C18">
        <f>C15</f>
        <v>266724.0</v>
      </c>
      <c r="D18">
        <f>C18+D15</f>
        <v>529882.0</v>
      </c>
      <c r="E18">
        <f>D18+E15</f>
        <v>790234.0</v>
      </c>
      <c r="F18">
        <f>E18+F15</f>
        <v>1048560.0</v>
      </c>
      <c r="G18">
        <f>F18+G15</f>
        <v>1305755.0</v>
      </c>
      <c r="H18">
        <f>G18+H15</f>
        <v>1562686.0</v>
      </c>
      <c r="I18">
        <f>H18+I15</f>
        <v>1820171.0</v>
      </c>
      <c r="J18">
        <f>I18+J15</f>
        <v>2079221.0</v>
      </c>
      <c r="K18">
        <f>J18+K15</f>
        <v>2340797.0</v>
      </c>
      <c r="L18">
        <f>K18+L15</f>
        <v>2606009.0</v>
      </c>
      <c r="M18">
        <f>L18+M15</f>
        <v>2875851.0</v>
      </c>
      <c r="N18">
        <f>M18+N15</f>
        <v>3151394.0</v>
      </c>
      <c r="O18">
        <f>N18+O15</f>
        <v>3433867.0</v>
      </c>
      <c r="P18">
        <f>O18+P15</f>
        <v>3724437.0</v>
      </c>
      <c r="Q18">
        <f>P18+Q15</f>
        <v>4024380.0</v>
      </c>
      <c r="R18">
        <f>Q18+R15</f>
        <v>4335027.0</v>
      </c>
      <c r="S18">
        <f>R18+S15</f>
        <v>4657762.0</v>
      </c>
      <c r="T18">
        <f>S18+T15</f>
        <v>4993962.0</v>
      </c>
      <c r="U18">
        <f>T18+U15</f>
        <v>5345188.0</v>
      </c>
      <c r="V18">
        <f>U18+V15</f>
        <v>5712931.0</v>
      </c>
      <c r="W18">
        <f>V18+W15</f>
        <v>6098873.0</v>
      </c>
      <c r="X18">
        <f>W18+X15</f>
        <v>6504681.0</v>
      </c>
      <c r="Y18">
        <f>X18+Y15</f>
        <v>6932167.0</v>
      </c>
      <c r="Z18">
        <f>Y18+Z15</f>
        <v>7383057.0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24963609.0</v>
      </c>
    </row>
    <row r="4">
      <c r="A4" t="inlineStr">
        <is>
          <t>Total EBITDA</t>
        </is>
      </c>
      <c r="B4">
        <f>'P&amp;L'!AA15</f>
        <v>7383057.0</v>
      </c>
    </row>
    <row r="5">
      <c r="A5" t="inlineStr">
        <is>
          <t>Exit run rate EBITDA</t>
        </is>
      </c>
      <c r="B5">
        <f>SUM('P&amp;L'!O15:Z15)</f>
        <v>4231663.0</v>
      </c>
    </row>
    <row r="6">
      <c r="A6" t="inlineStr">
        <is>
          <t>EBITDA multiple</t>
        </is>
      </c>
      <c r="B6">
        <f>Assumptions!$B$21</f>
        <v>13.0</v>
      </c>
    </row>
    <row r="7">
      <c r="A7" t="inlineStr">
        <is>
          <t>Enterprise value</t>
        </is>
      </c>
      <c r="B7">
        <f>ROUND(B5*B6,0)</f>
        <v>55011619.0</v>
      </c>
    </row>
    <row r="8">
      <c r="A8" t="inlineStr">
        <is>
          <t>Net debt</t>
        </is>
      </c>
      <c r="B8">
        <f>Assumptions!$B$22</f>
        <v>3600000.0</v>
      </c>
    </row>
    <row r="9">
      <c r="A9" t="inlineStr">
        <is>
          <t>Equity value</t>
        </is>
      </c>
      <c r="B9">
        <f>B7-B8</f>
        <v>51411619.0</v>
      </c>
    </row>
    <row r="11">
      <c r="A11" t="inlineStr">
        <is>
          <t>Average monthly EBITDA</t>
        </is>
      </c>
      <c r="B11">
        <f>AVERAGE('P&amp;L'!C15:Z15)</f>
        <v>307627.375</v>
      </c>
    </row>
    <row r="12">
      <c r="A12" t="inlineStr">
        <is>
          <t>Best month</t>
        </is>
      </c>
      <c r="B12">
        <f>MAX('P&amp;L'!C15:Z15)</f>
        <v>450890.0</v>
      </c>
    </row>
    <row r="13">
      <c r="A13" t="inlineStr">
        <is>
          <t>Worst month</t>
        </is>
      </c>
      <c r="B13">
        <f>MIN('P&amp;L'!C15:Z15)</f>
        <v>256931.0</v>
      </c>
    </row>
    <row r="14">
      <c r="A14" t="inlineStr">
        <is>
          <t>Sum of positive months</t>
        </is>
      </c>
      <c r="B14">
        <f>SUMIF('P&amp;L'!C15:Z15,"&gt;0")</f>
        <v>7383057.0</v>
      </c>
    </row>
    <row r="15">
      <c r="A15" t="inlineStr">
        <is>
          <t>Best to worst swing</t>
        </is>
      </c>
      <c r="B15">
        <f>ABS(B12-B13)</f>
        <v>193959.0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