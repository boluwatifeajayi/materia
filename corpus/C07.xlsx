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11200</v>
      </c>
    </row>
    <row r="5">
      <c r="A5" t="inlineStr">
        <is>
          <t>Monthly new customer rate</t>
        </is>
      </c>
      <c r="B5" t="n">
        <v>0.0372</v>
      </c>
    </row>
    <row r="6">
      <c r="A6" t="inlineStr">
        <is>
          <t>Monthly churn rate</t>
        </is>
      </c>
      <c r="B6" t="n">
        <v>0.0178</v>
      </c>
    </row>
    <row r="7">
      <c r="A7" t="inlineStr">
        <is>
          <t>Opening ARPU</t>
        </is>
      </c>
      <c r="B7" t="n">
        <v>104.2</v>
      </c>
    </row>
    <row r="8">
      <c r="A8" t="inlineStr">
        <is>
          <t>Monthly ARPU uplift</t>
        </is>
      </c>
      <c r="B8" t="n">
        <v>0.0074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0.2781</v>
      </c>
    </row>
    <row r="12">
      <c r="A12" t="inlineStr">
        <is>
          <t>Opening headcount</t>
        </is>
      </c>
      <c r="B12" t="n">
        <v>46</v>
      </c>
    </row>
    <row r="13">
      <c r="A13" t="inlineStr">
        <is>
          <t>New hires per month</t>
        </is>
      </c>
      <c r="B13" t="n">
        <v>1</v>
      </c>
    </row>
    <row r="14">
      <c r="A14" t="inlineStr">
        <is>
          <t>Average salary</t>
        </is>
      </c>
      <c r="B14" t="n">
        <v>67500</v>
      </c>
    </row>
    <row r="15">
      <c r="A15" t="inlineStr">
        <is>
          <t>Payroll tax rate</t>
        </is>
      </c>
      <c r="B15" t="n">
        <v>0.1565</v>
      </c>
    </row>
    <row r="16">
      <c r="A16" t="inlineStr">
        <is>
          <t>Marketing as share of revenue</t>
        </is>
      </c>
      <c r="B16" t="n">
        <v>0.1006</v>
      </c>
    </row>
    <row r="17">
      <c r="A17" t="inlineStr">
        <is>
          <t>Monthly overhead</t>
        </is>
      </c>
      <c r="B17" t="n">
        <v>68000</v>
      </c>
    </row>
    <row r="18">
      <c r="A18" t="inlineStr">
        <is>
          <t>Monthly overhead inflation</t>
        </is>
      </c>
      <c r="B18" t="n">
        <v>0.004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13.8</v>
      </c>
    </row>
    <row r="22">
      <c r="A22" t="inlineStr">
        <is>
          <t>Net debt</t>
        </is>
      </c>
      <c r="B22" t="n">
        <v>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11200.0</v>
      </c>
      <c r="D5">
        <f>C9</f>
        <v>11418.0</v>
      </c>
      <c r="E5">
        <f>D9</f>
        <v>11640.0</v>
      </c>
      <c r="F5">
        <f>E9</f>
        <v>11866.0</v>
      </c>
      <c r="G5">
        <f>F9</f>
        <v>12096.0</v>
      </c>
      <c r="H5">
        <f>G9</f>
        <v>12331.0</v>
      </c>
      <c r="I5">
        <f>H9</f>
        <v>12571.0</v>
      </c>
      <c r="J5">
        <f>I9</f>
        <v>12815.0</v>
      </c>
      <c r="K5">
        <f>J9</f>
        <v>13064.0</v>
      </c>
      <c r="L5">
        <f>K9</f>
        <v>13317.0</v>
      </c>
      <c r="M5">
        <f>L9</f>
        <v>13575.0</v>
      </c>
      <c r="N5">
        <f>M9</f>
        <v>13838.0</v>
      </c>
      <c r="O5">
        <f>N9</f>
        <v>14107.0</v>
      </c>
      <c r="P5">
        <f>O9</f>
        <v>14381.0</v>
      </c>
      <c r="Q5">
        <f>P9</f>
        <v>14660.0</v>
      </c>
      <c r="R5">
        <f>Q9</f>
        <v>14944.0</v>
      </c>
      <c r="S5">
        <f>R9</f>
        <v>15234.0</v>
      </c>
      <c r="T5">
        <f>S9</f>
        <v>15530.0</v>
      </c>
      <c r="U5">
        <f>T9</f>
        <v>15832.0</v>
      </c>
      <c r="V5">
        <f>U9</f>
        <v>16139.0</v>
      </c>
      <c r="W5">
        <f>V9</f>
        <v>16452.0</v>
      </c>
      <c r="X5">
        <f>W9</f>
        <v>16771.0</v>
      </c>
      <c r="Y5">
        <f>X9</f>
        <v>17096.0</v>
      </c>
      <c r="Z5">
        <f>Y9</f>
        <v>17428.0</v>
      </c>
    </row>
    <row r="6">
      <c r="A6" t="inlineStr">
        <is>
          <t>New customers</t>
        </is>
      </c>
      <c r="C6">
        <f>ROUND(C5*Assumptions!$B$5,0)</f>
        <v>417.0</v>
      </c>
      <c r="D6">
        <f>ROUND(D5*Assumptions!$B$5,0)</f>
        <v>425.0</v>
      </c>
      <c r="E6">
        <f>ROUND(E5*Assumptions!$B$5,0)</f>
        <v>433.0</v>
      </c>
      <c r="F6">
        <f>ROUND(F5*Assumptions!$B$5,0)</f>
        <v>441.0</v>
      </c>
      <c r="G6">
        <f>ROUND(G5*Assumptions!$B$5,0)</f>
        <v>450.0</v>
      </c>
      <c r="H6">
        <f>ROUND(H5*Assumptions!$B$5,0)</f>
        <v>459.0</v>
      </c>
      <c r="I6">
        <f>ROUND(I5*Assumptions!$B$5,0)</f>
        <v>468.0</v>
      </c>
      <c r="J6">
        <f>ROUND(J5*Assumptions!$B$5,0)</f>
        <v>477.0</v>
      </c>
      <c r="K6">
        <f>ROUND(K5*Assumptions!$B$5,0)</f>
        <v>486.0</v>
      </c>
      <c r="L6">
        <f>ROUND(L5*Assumptions!$B$5,0)</f>
        <v>495.0</v>
      </c>
      <c r="M6">
        <f>ROUND(M5*Assumptions!$B$5,0)</f>
        <v>505.0</v>
      </c>
      <c r="N6">
        <f>ROUND(N5*Assumptions!$B$5,0)</f>
        <v>515.0</v>
      </c>
      <c r="O6">
        <f>ROUND(O5*Assumptions!$B$5,0)</f>
        <v>525.0</v>
      </c>
      <c r="P6">
        <f>ROUND(P5*Assumptions!$B$5,0)</f>
        <v>535.0</v>
      </c>
      <c r="Q6">
        <f>ROUND(Q5*Assumptions!$B$5,0)</f>
        <v>545.0</v>
      </c>
      <c r="R6">
        <f>ROUND(R5*Assumptions!$B$5,0)</f>
        <v>556.0</v>
      </c>
      <c r="S6">
        <f>ROUND(S5*Assumptions!$B$5,0)</f>
        <v>567.0</v>
      </c>
      <c r="T6">
        <f>ROUND(T5*Assumptions!$B$5,0)</f>
        <v>578.0</v>
      </c>
      <c r="U6">
        <f>ROUND(U5*Assumptions!$B$5,0)</f>
        <v>589.0</v>
      </c>
      <c r="V6">
        <f>ROUND(V5*Assumptions!$B$5,0)</f>
        <v>600.0</v>
      </c>
      <c r="W6">
        <f>ROUND(W5*Assumptions!$B$5,0)</f>
        <v>612.0</v>
      </c>
      <c r="X6">
        <f>ROUND(X5*Assumptions!$B$5,0)</f>
        <v>624.0</v>
      </c>
      <c r="Y6">
        <f>ROUND(Y5*Assumptions!$B$5,0)</f>
        <v>636.0</v>
      </c>
      <c r="Z6">
        <f>ROUND(Z5*Assumptions!$B$5,0)</f>
        <v>648.0</v>
      </c>
    </row>
    <row r="7">
      <c r="A7" t="inlineStr">
        <is>
          <t>Churned customers</t>
        </is>
      </c>
      <c r="C7">
        <f>-ROUND(C5*Assumptions!$B$6,0)</f>
        <v>-199.0</v>
      </c>
      <c r="D7">
        <f>-ROUND(D5*Assumptions!$B$6,0)</f>
        <v>-203.0</v>
      </c>
      <c r="E7">
        <f>-ROUND(E5*Assumptions!$B$6,0)</f>
        <v>-207.0</v>
      </c>
      <c r="F7">
        <f>-ROUND(F5*Assumptions!$B$6,0)</f>
        <v>-211.0</v>
      </c>
      <c r="G7">
        <f>-ROUND(G5*Assumptions!$B$6,0)</f>
        <v>-215.0</v>
      </c>
      <c r="H7">
        <f>-ROUND(H5*Assumptions!$B$6,0)</f>
        <v>-219.0</v>
      </c>
      <c r="I7">
        <f>-ROUND(I5*Assumptions!$B$6,0)</f>
        <v>-224.0</v>
      </c>
      <c r="J7">
        <f>-ROUND(J5*Assumptions!$B$6,0)</f>
        <v>-228.0</v>
      </c>
      <c r="K7">
        <f>-ROUND(K5*Assumptions!$B$6,0)</f>
        <v>-233.0</v>
      </c>
      <c r="L7">
        <f>-ROUND(L5*Assumptions!$B$6,0)</f>
        <v>-237.0</v>
      </c>
      <c r="M7">
        <f>-ROUND(M5*Assumptions!$B$6,0)</f>
        <v>-242.0</v>
      </c>
      <c r="N7">
        <f>-ROUND(N5*Assumptions!$B$6,0)</f>
        <v>-246.0</v>
      </c>
      <c r="O7">
        <f>-ROUND(O5*Assumptions!$B$6,0)</f>
        <v>-251.0</v>
      </c>
      <c r="P7">
        <f>-ROUND(P5*Assumptions!$B$6,0)</f>
        <v>-256.0</v>
      </c>
      <c r="Q7">
        <f>-ROUND(Q5*Assumptions!$B$6,0)</f>
        <v>-261.0</v>
      </c>
      <c r="R7">
        <f>-ROUND(R5*Assumptions!$B$6,0)</f>
        <v>-266.0</v>
      </c>
      <c r="S7">
        <f>-ROUND(S5*Assumptions!$B$6,0)</f>
        <v>-271.0</v>
      </c>
      <c r="T7">
        <f>-ROUND(T5*Assumptions!$B$6,0)</f>
        <v>-276.0</v>
      </c>
      <c r="U7">
        <f>-ROUND(U5*Assumptions!$B$6,0)</f>
        <v>-282.0</v>
      </c>
      <c r="V7">
        <f>-ROUND(V5*Assumptions!$B$6,0)</f>
        <v>-287.0</v>
      </c>
      <c r="W7">
        <f>-ROUND(W5*Assumptions!$B$6,0)</f>
        <v>-293.0</v>
      </c>
      <c r="X7">
        <f>-ROUND(X5*Assumptions!$B$6,0)</f>
        <v>-299.0</v>
      </c>
      <c r="Y7">
        <f>-ROUND(Y5*Assumptions!$B$6,0)</f>
        <v>-304.0</v>
      </c>
      <c r="Z7">
        <f>-ROUND(Z5*Assumptions!$B$6,0)</f>
        <v>-310.0</v>
      </c>
    </row>
    <row r="9">
      <c r="A9" t="inlineStr">
        <is>
          <t>Closing customers</t>
        </is>
      </c>
      <c r="C9">
        <f>C5+C6+C7</f>
        <v>11418.0</v>
      </c>
      <c r="D9">
        <f>D5+D6+D7</f>
        <v>11640.0</v>
      </c>
      <c r="E9">
        <f>E5+E6+E7</f>
        <v>11866.0</v>
      </c>
      <c r="F9">
        <f>F5+F6+F7</f>
        <v>12096.0</v>
      </c>
      <c r="G9">
        <f>G5+G6+G7</f>
        <v>12331.0</v>
      </c>
      <c r="H9">
        <f>H5+H6+H7</f>
        <v>12571.0</v>
      </c>
      <c r="I9">
        <f>I5+I6+I7</f>
        <v>12815.0</v>
      </c>
      <c r="J9">
        <f>J5+J6+J7</f>
        <v>13064.0</v>
      </c>
      <c r="K9">
        <f>K5+K6+K7</f>
        <v>13317.0</v>
      </c>
      <c r="L9">
        <f>L5+L6+L7</f>
        <v>13575.0</v>
      </c>
      <c r="M9">
        <f>M5+M6+M7</f>
        <v>13838.0</v>
      </c>
      <c r="N9">
        <f>N5+N6+N7</f>
        <v>14107.0</v>
      </c>
      <c r="O9">
        <f>O5+O6+O7</f>
        <v>14381.0</v>
      </c>
      <c r="P9">
        <f>P5+P6+P7</f>
        <v>14660.0</v>
      </c>
      <c r="Q9">
        <f>Q5+Q6+Q7</f>
        <v>14944.0</v>
      </c>
      <c r="R9">
        <f>R5+R6+R7</f>
        <v>15234.0</v>
      </c>
      <c r="S9">
        <f>S5+S6+S7</f>
        <v>15530.0</v>
      </c>
      <c r="T9">
        <f>T5+T6+T7</f>
        <v>15832.0</v>
      </c>
      <c r="U9">
        <f>U5+U6+U7</f>
        <v>16139.0</v>
      </c>
      <c r="V9">
        <f>V5+V6+V7</f>
        <v>16452.0</v>
      </c>
      <c r="W9">
        <f>W5+W6+W7</f>
        <v>16771.0</v>
      </c>
      <c r="X9">
        <f>X5+X6+X7</f>
        <v>17096.0</v>
      </c>
      <c r="Y9">
        <f>Y5+Y6+Y7</f>
        <v>17428.0</v>
      </c>
      <c r="Z9">
        <f>Z5+Z6+Z7</f>
        <v>17766.0</v>
      </c>
    </row>
    <row r="11">
      <c r="A11" t="inlineStr">
        <is>
          <t>ARPU</t>
        </is>
      </c>
      <c r="C11">
        <f>Assumptions!$B$7</f>
        <v>104.2</v>
      </c>
      <c r="D11">
        <f>ROUND(C11*(1+Assumptions!$B$8),2)</f>
        <v>104.97</v>
      </c>
      <c r="E11">
        <f>ROUND(D11*(1+Assumptions!$B$8),2)</f>
        <v>105.75</v>
      </c>
      <c r="F11">
        <f>ROUND(E11*(1+Assumptions!$B$8),2)</f>
        <v>106.53</v>
      </c>
      <c r="G11">
        <f>ROUND(F11*(1+Assumptions!$B$8),2)</f>
        <v>107.32</v>
      </c>
      <c r="H11">
        <f>ROUND(G11*(1+Assumptions!$B$8),2)</f>
        <v>108.11</v>
      </c>
      <c r="I11">
        <f>ROUND(H11*(1+Assumptions!$B$8),2)</f>
        <v>108.91</v>
      </c>
      <c r="J11">
        <f>ROUND(I11*(1+Assumptions!$B$8),2)</f>
        <v>109.72</v>
      </c>
      <c r="K11">
        <f>ROUND(J11*(1+Assumptions!$B$8),2)</f>
        <v>110.53</v>
      </c>
      <c r="L11">
        <f>ROUND(K11*(1+Assumptions!$B$8),2)</f>
        <v>111.35</v>
      </c>
      <c r="M11">
        <f>ROUND(L11*(1+Assumptions!$B$8),2)</f>
        <v>112.17</v>
      </c>
      <c r="N11">
        <f>ROUND(M11*(1+Assumptions!$B$8),2)</f>
        <v>113.0</v>
      </c>
      <c r="O11">
        <f>ROUND(N11*(1+Assumptions!$B$8),2)</f>
        <v>113.84</v>
      </c>
      <c r="P11">
        <f>ROUND(O11*(1+Assumptions!$B$8),2)</f>
        <v>114.68</v>
      </c>
      <c r="Q11">
        <f>ROUND(P11*(1+Assumptions!$B$8),2)</f>
        <v>115.53</v>
      </c>
      <c r="R11">
        <f>ROUND(Q11*(1+Assumptions!$B$8),2)</f>
        <v>116.38</v>
      </c>
      <c r="S11">
        <f>ROUND(R11*(1+Assumptions!$B$8),2)</f>
        <v>117.24</v>
      </c>
      <c r="T11">
        <f>ROUND(S11*(1+Assumptions!$B$8),2)</f>
        <v>118.11</v>
      </c>
      <c r="U11">
        <f>ROUND(T11*(1+Assumptions!$B$8),2)</f>
        <v>118.98</v>
      </c>
      <c r="V11">
        <f>ROUND(U11*(1+Assumptions!$B$8),2)</f>
        <v>119.86</v>
      </c>
      <c r="W11">
        <f>ROUND(V11*(1+Assumptions!$B$8),2)</f>
        <v>120.75</v>
      </c>
      <c r="X11">
        <f>ROUND(W11*(1+Assumptions!$B$8),2)</f>
        <v>121.64</v>
      </c>
      <c r="Y11">
        <f>ROUND(X11*(1+Assumptions!$B$8),2)</f>
        <v>122.54</v>
      </c>
      <c r="Z11">
        <f>ROUND(Y11*(1+Assumptions!$B$8),2)</f>
        <v>123.45</v>
      </c>
    </row>
    <row r="13">
      <c r="A13" t="inlineStr">
        <is>
          <t>Average customers</t>
        </is>
      </c>
      <c r="C13">
        <f>ROUND((C5+C9)/2,0)</f>
        <v>11309.0</v>
      </c>
      <c r="D13">
        <f>ROUND((D5+D9)/2,0)</f>
        <v>11529.0</v>
      </c>
      <c r="E13">
        <f>ROUND((E5+E9)/2,0)</f>
        <v>11753.0</v>
      </c>
      <c r="F13">
        <f>ROUND((F5+F9)/2,0)</f>
        <v>11981.0</v>
      </c>
      <c r="G13">
        <f>ROUND((G5+G9)/2,0)</f>
        <v>12214.0</v>
      </c>
      <c r="H13">
        <f>ROUND((H5+H9)/2,0)</f>
        <v>12451.0</v>
      </c>
      <c r="I13">
        <f>ROUND((I5+I9)/2,0)</f>
        <v>12693.0</v>
      </c>
      <c r="J13">
        <f>ROUND((J5+J9)/2,0)</f>
        <v>12940.0</v>
      </c>
      <c r="K13">
        <f>ROUND((K5+K9)/2,0)</f>
        <v>13191.0</v>
      </c>
      <c r="L13">
        <f>ROUND((L5+L9)/2,0)</f>
        <v>13446.0</v>
      </c>
      <c r="M13">
        <f>ROUND((M5+M9)/2,0)</f>
        <v>13707.0</v>
      </c>
      <c r="N13">
        <f>ROUND((N5+N9)/2,0)</f>
        <v>13973.0</v>
      </c>
      <c r="O13">
        <f>ROUND((O5+O9)/2,0)</f>
        <v>14244.0</v>
      </c>
      <c r="P13">
        <f>ROUND((P5+P9)/2,0)</f>
        <v>14521.0</v>
      </c>
      <c r="Q13">
        <f>ROUND((Q5+Q9)/2,0)</f>
        <v>14802.0</v>
      </c>
      <c r="R13">
        <f>ROUND((R5+R9)/2,0)</f>
        <v>15089.0</v>
      </c>
      <c r="S13">
        <f>ROUND((S5+S9)/2,0)</f>
        <v>15382.0</v>
      </c>
      <c r="T13">
        <f>ROUND((T5+T9)/2,0)</f>
        <v>15681.0</v>
      </c>
      <c r="U13">
        <f>ROUND((U5+U9)/2,0)</f>
        <v>15986.0</v>
      </c>
      <c r="V13">
        <f>ROUND((V5+V9)/2,0)</f>
        <v>16296.0</v>
      </c>
      <c r="W13">
        <f>ROUND((W5+W9)/2,0)</f>
        <v>16612.0</v>
      </c>
      <c r="X13">
        <f>ROUND((X5+X9)/2,0)</f>
        <v>16934.0</v>
      </c>
      <c r="Y13">
        <f>ROUND((Y5+Y9)/2,0)</f>
        <v>17262.0</v>
      </c>
      <c r="Z13">
        <f>ROUND((Z5+Z9)/2,0)</f>
        <v>17597.0</v>
      </c>
    </row>
    <row r="15">
      <c r="A15" t="inlineStr">
        <is>
          <t>Revenue</t>
        </is>
      </c>
      <c r="C15">
        <f>ROUND(C13*C11,0)</f>
        <v>1178398.0</v>
      </c>
      <c r="D15">
        <f>ROUND(D13*D11,0)</f>
        <v>1210199.0</v>
      </c>
      <c r="E15">
        <f>ROUND(E13*E11,0)</f>
        <v>1242880.0</v>
      </c>
      <c r="F15">
        <f>ROUND(F13*F11,0)</f>
        <v>1276336.0</v>
      </c>
      <c r="G15">
        <f>ROUND(G13*G11,0)</f>
        <v>1310806.0</v>
      </c>
      <c r="H15">
        <f>ROUND(H13*H11,0)</f>
        <v>1346078.0</v>
      </c>
      <c r="I15">
        <f>ROUND(I13*I11,0)</f>
        <v>1382395.0</v>
      </c>
      <c r="J15">
        <f>ROUND(J13*J11,0)</f>
        <v>1419777.0</v>
      </c>
      <c r="K15">
        <f>ROUND(K13*K11,0)</f>
        <v>1458001.0</v>
      </c>
      <c r="L15">
        <f>ROUND(L13*L11,0)</f>
        <v>1497212.0</v>
      </c>
      <c r="M15">
        <f>ROUND(M13*M11,0)</f>
        <v>1537514.0</v>
      </c>
      <c r="N15">
        <f>ROUND(N13*N11,0)</f>
        <v>1578949.0</v>
      </c>
      <c r="O15">
        <f>ROUND(O13*O11,0)</f>
        <v>1621537.0</v>
      </c>
      <c r="P15">
        <f>ROUND(P13*P11,0)</f>
        <v>1665268.0</v>
      </c>
      <c r="Q15">
        <f>ROUND(Q13*Q11,0)</f>
        <v>1710075.0</v>
      </c>
      <c r="R15">
        <f>ROUND(R13*R11,0)</f>
        <v>1756058.0</v>
      </c>
      <c r="S15">
        <f>ROUND(S13*S11,0)</f>
        <v>1803386.0</v>
      </c>
      <c r="T15">
        <f>ROUND(T13*T11,0)</f>
        <v>1852083.0</v>
      </c>
      <c r="U15">
        <f>ROUND(U13*U11,0)</f>
        <v>1902014.0</v>
      </c>
      <c r="V15">
        <f>ROUND(V13*V11,0)</f>
        <v>1953239.0</v>
      </c>
      <c r="W15">
        <f>ROUND(W13*W11,0)</f>
        <v>2005899.0</v>
      </c>
      <c r="X15">
        <f>ROUND(X13*X11,0)</f>
        <v>2059852.0</v>
      </c>
      <c r="Y15">
        <f>ROUND(Y13*Y11,0)</f>
        <v>2115285.0</v>
      </c>
      <c r="Z15">
        <f>ROUND(Z13*Z11,0)</f>
        <v>2172350.0</v>
      </c>
    </row>
    <row r="17">
      <c r="A17" t="inlineStr">
        <is>
          <t>Cumulative revenue</t>
        </is>
      </c>
      <c r="C17">
        <f>C15</f>
        <v>1178398.0</v>
      </c>
      <c r="D17">
        <f>C17+D15</f>
        <v>2388597.0</v>
      </c>
      <c r="E17">
        <f>D17+E15</f>
        <v>3631477.0</v>
      </c>
      <c r="F17">
        <f>E17+F15</f>
        <v>4907813.0</v>
      </c>
      <c r="G17">
        <f>F17+G15</f>
        <v>6218619.0</v>
      </c>
      <c r="H17">
        <f>G17+H15</f>
        <v>7564697.0</v>
      </c>
      <c r="I17">
        <f>H17+I15</f>
        <v>8947092.0</v>
      </c>
      <c r="J17">
        <f>I17+J15</f>
        <v>10366869.0</v>
      </c>
      <c r="K17">
        <f>J17+K15</f>
        <v>11824870.0</v>
      </c>
      <c r="L17">
        <f>K17+L15</f>
        <v>13322082.0</v>
      </c>
      <c r="M17">
        <f>L17+M15</f>
        <v>14859596.0</v>
      </c>
      <c r="N17">
        <f>M17+N15</f>
        <v>16438545.0</v>
      </c>
      <c r="O17">
        <f>N17+O15</f>
        <v>18060082.0</v>
      </c>
      <c r="P17">
        <f>O17+P15</f>
        <v>19725350.0</v>
      </c>
      <c r="Q17">
        <f>P17+Q15</f>
        <v>21435425.0</v>
      </c>
      <c r="R17">
        <f>Q17+R15</f>
        <v>23191483.0</v>
      </c>
      <c r="S17">
        <f>R17+S15</f>
        <v>24994869.0</v>
      </c>
      <c r="T17">
        <f>S17+T15</f>
        <v>26846952.0</v>
      </c>
      <c r="U17">
        <f>T17+U15</f>
        <v>28748966.0</v>
      </c>
      <c r="V17">
        <f>U17+V15</f>
        <v>30702205.0</v>
      </c>
      <c r="W17">
        <f>V17+W15</f>
        <v>32708104.0</v>
      </c>
      <c r="X17">
        <f>W17+X15</f>
        <v>34767956.0</v>
      </c>
      <c r="Y17">
        <f>X17+Y15</f>
        <v>36883241.0</v>
      </c>
      <c r="Z17">
        <f>Y17+Z15</f>
        <v>39055591.0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46.0</v>
      </c>
      <c r="D5">
        <f>C5+Assumptions!$B$13</f>
        <v>47.0</v>
      </c>
      <c r="E5">
        <f>D5+Assumptions!$B$13</f>
        <v>48.0</v>
      </c>
      <c r="F5">
        <f>E5+Assumptions!$B$13</f>
        <v>49.0</v>
      </c>
      <c r="G5">
        <f>F5+Assumptions!$B$13</f>
        <v>50.0</v>
      </c>
      <c r="H5">
        <f>G5+Assumptions!$B$13</f>
        <v>51.0</v>
      </c>
      <c r="I5">
        <f>H5+Assumptions!$B$13</f>
        <v>52.0</v>
      </c>
      <c r="J5">
        <f>I5+Assumptions!$B$13</f>
        <v>53.0</v>
      </c>
      <c r="K5">
        <f>J5+Assumptions!$B$13</f>
        <v>54.0</v>
      </c>
      <c r="L5">
        <f>K5+Assumptions!$B$13</f>
        <v>55.0</v>
      </c>
      <c r="M5">
        <f>L5+Assumptions!$B$13</f>
        <v>56.0</v>
      </c>
      <c r="N5">
        <f>M5+Assumptions!$B$13</f>
        <v>57.0</v>
      </c>
      <c r="O5">
        <f>N5+Assumptions!$B$13</f>
        <v>58.0</v>
      </c>
      <c r="P5">
        <f>O5+Assumptions!$B$13</f>
        <v>59.0</v>
      </c>
      <c r="Q5">
        <f>P5+Assumptions!$B$13</f>
        <v>60.0</v>
      </c>
      <c r="R5">
        <f>Q5+Assumptions!$B$13</f>
        <v>61.0</v>
      </c>
      <c r="S5">
        <f>R5+Assumptions!$B$13</f>
        <v>62.0</v>
      </c>
      <c r="T5">
        <f>S5+Assumptions!$B$13</f>
        <v>63.0</v>
      </c>
      <c r="U5">
        <f>T5+Assumptions!$B$13</f>
        <v>64.0</v>
      </c>
      <c r="V5">
        <f>U5+Assumptions!$B$13</f>
        <v>65.0</v>
      </c>
      <c r="W5">
        <f>V5+Assumptions!$B$13</f>
        <v>66.0</v>
      </c>
      <c r="X5">
        <f>W5+Assumptions!$B$13</f>
        <v>67.0</v>
      </c>
      <c r="Y5">
        <f>X5+Assumptions!$B$13</f>
        <v>68.0</v>
      </c>
      <c r="Z5">
        <f>Y5+Assumptions!$B$13</f>
        <v>69.0</v>
      </c>
    </row>
    <row r="6">
      <c r="A6" t="inlineStr">
        <is>
          <t>Salary cost</t>
        </is>
      </c>
      <c r="C6">
        <f>ROUND(C5*Assumptions!$B$14/12,0)</f>
        <v>258750.0</v>
      </c>
      <c r="D6">
        <f>ROUND(D5*Assumptions!$B$14/12,0)</f>
        <v>264375.0</v>
      </c>
      <c r="E6">
        <f>ROUND(E5*Assumptions!$B$14/12,0)</f>
        <v>270000.0</v>
      </c>
      <c r="F6">
        <f>ROUND(F5*Assumptions!$B$14/12,0)</f>
        <v>275625.0</v>
      </c>
      <c r="G6">
        <f>ROUND(G5*Assumptions!$B$14/12,0)</f>
        <v>281250.0</v>
      </c>
      <c r="H6">
        <f>ROUND(H5*Assumptions!$B$14/12,0)</f>
        <v>286875.0</v>
      </c>
      <c r="I6">
        <f>ROUND(I5*Assumptions!$B$14/12,0)</f>
        <v>292500.0</v>
      </c>
      <c r="J6">
        <f>ROUND(J5*Assumptions!$B$14/12,0)</f>
        <v>298125.0</v>
      </c>
      <c r="K6">
        <f>ROUND(K5*Assumptions!$B$14/12,0)</f>
        <v>303750.0</v>
      </c>
      <c r="L6">
        <f>ROUND(L5*Assumptions!$B$14/12,0)</f>
        <v>309375.0</v>
      </c>
      <c r="M6">
        <f>ROUND(M5*Assumptions!$B$14/12,0)</f>
        <v>315000.0</v>
      </c>
      <c r="N6">
        <f>ROUND(N5*Assumptions!$B$14/12,0)</f>
        <v>320625.0</v>
      </c>
      <c r="O6">
        <f>ROUND(O5*Assumptions!$B$14/12,0)</f>
        <v>326250.0</v>
      </c>
      <c r="P6">
        <f>ROUND(P5*Assumptions!$B$14/12,0)</f>
        <v>331875.0</v>
      </c>
      <c r="Q6">
        <f>ROUND(Q5*Assumptions!$B$14/12,0)</f>
        <v>337500.0</v>
      </c>
      <c r="R6">
        <f>ROUND(R5*Assumptions!$B$14/12,0)</f>
        <v>343125.0</v>
      </c>
      <c r="S6">
        <f>ROUND(S5*Assumptions!$B$14/12,0)</f>
        <v>348750.0</v>
      </c>
      <c r="T6">
        <f>ROUND(T5*Assumptions!$B$14/12,0)</f>
        <v>354375.0</v>
      </c>
      <c r="U6">
        <f>ROUND(U5*Assumptions!$B$14/12,0)</f>
        <v>360000.0</v>
      </c>
      <c r="V6">
        <f>ROUND(V5*Assumptions!$B$14/12,0)</f>
        <v>365625.0</v>
      </c>
      <c r="W6">
        <f>ROUND(W5*Assumptions!$B$14/12,0)</f>
        <v>371250.0</v>
      </c>
      <c r="X6">
        <f>ROUND(X5*Assumptions!$B$14/12,0)</f>
        <v>376875.0</v>
      </c>
      <c r="Y6">
        <f>ROUND(Y5*Assumptions!$B$14/12,0)</f>
        <v>382500.0</v>
      </c>
      <c r="Z6">
        <f>ROUND(Z5*Assumptions!$B$14/12,0)</f>
        <v>388125.0</v>
      </c>
    </row>
    <row r="7">
      <c r="A7" t="inlineStr">
        <is>
          <t>Payroll tax</t>
        </is>
      </c>
      <c r="C7">
        <f>ROUND(C6*Assumptions!$B$15,0)</f>
        <v>40494.0</v>
      </c>
      <c r="D7">
        <f>ROUND(D6*Assumptions!$B$15,0)</f>
        <v>41375.0</v>
      </c>
      <c r="E7">
        <f>ROUND(E6*Assumptions!$B$15,0)</f>
        <v>42255.0</v>
      </c>
      <c r="F7">
        <f>ROUND(F6*Assumptions!$B$15,0)</f>
        <v>43135.0</v>
      </c>
      <c r="G7">
        <f>ROUND(G6*Assumptions!$B$15,0)</f>
        <v>44016.0</v>
      </c>
      <c r="H7">
        <f>ROUND(H6*Assumptions!$B$15,0)</f>
        <v>44896.0</v>
      </c>
      <c r="I7">
        <f>ROUND(I6*Assumptions!$B$15,0)</f>
        <v>45776.0</v>
      </c>
      <c r="J7">
        <f>ROUND(J6*Assumptions!$B$15,0)</f>
        <v>46657.0</v>
      </c>
      <c r="K7">
        <f>ROUND(K6*Assumptions!$B$15,0)</f>
        <v>47537.0</v>
      </c>
      <c r="L7">
        <f>ROUND(L6*Assumptions!$B$15,0)</f>
        <v>48417.0</v>
      </c>
      <c r="M7">
        <f>ROUND(M6*Assumptions!$B$15,0)</f>
        <v>49298.0</v>
      </c>
      <c r="N7">
        <f>ROUND(N6*Assumptions!$B$15,0)</f>
        <v>50178.0</v>
      </c>
      <c r="O7">
        <f>ROUND(O6*Assumptions!$B$15,0)</f>
        <v>51058.0</v>
      </c>
      <c r="P7">
        <f>ROUND(P6*Assumptions!$B$15,0)</f>
        <v>51938.0</v>
      </c>
      <c r="Q7">
        <f>ROUND(Q6*Assumptions!$B$15,0)</f>
        <v>52819.0</v>
      </c>
      <c r="R7">
        <f>ROUND(R6*Assumptions!$B$15,0)</f>
        <v>53699.0</v>
      </c>
      <c r="S7">
        <f>ROUND(S6*Assumptions!$B$15,0)</f>
        <v>54579.0</v>
      </c>
      <c r="T7">
        <f>ROUND(T6*Assumptions!$B$15,0)</f>
        <v>55460.0</v>
      </c>
      <c r="U7">
        <f>ROUND(U6*Assumptions!$B$15,0)</f>
        <v>56340.0</v>
      </c>
      <c r="V7">
        <f>ROUND(V6*Assumptions!$B$15,0)</f>
        <v>57220.0</v>
      </c>
      <c r="W7">
        <f>ROUND(W6*Assumptions!$B$15,0)</f>
        <v>58101.0</v>
      </c>
      <c r="X7">
        <f>ROUND(X6*Assumptions!$B$15,0)</f>
        <v>58981.0</v>
      </c>
      <c r="Y7">
        <f>ROUND(Y6*Assumptions!$B$15,0)</f>
        <v>59861.0</v>
      </c>
      <c r="Z7">
        <f>ROUND(Z6*Assumptions!$B$15,0)</f>
        <v>60742.0</v>
      </c>
    </row>
    <row r="8">
      <c r="A8" t="inlineStr">
        <is>
          <t>Total staff cost</t>
        </is>
      </c>
      <c r="C8">
        <f>C6+C7</f>
        <v>299244.0</v>
      </c>
      <c r="D8">
        <f>D6+D7</f>
        <v>305750.0</v>
      </c>
      <c r="E8">
        <f>E6+E7</f>
        <v>312255.0</v>
      </c>
      <c r="F8">
        <f>F6+F7</f>
        <v>318760.0</v>
      </c>
      <c r="G8">
        <f>G6+G7</f>
        <v>325266.0</v>
      </c>
      <c r="H8">
        <f>H6+H7</f>
        <v>331771.0</v>
      </c>
      <c r="I8">
        <f>I6+I7</f>
        <v>338276.0</v>
      </c>
      <c r="J8">
        <f>J6+J7</f>
        <v>344782.0</v>
      </c>
      <c r="K8">
        <f>K6+K7</f>
        <v>351287.0</v>
      </c>
      <c r="L8">
        <f>L6+L7</f>
        <v>357792.0</v>
      </c>
      <c r="M8">
        <f>M6+M7</f>
        <v>364298.0</v>
      </c>
      <c r="N8">
        <f>N6+N7</f>
        <v>370803.0</v>
      </c>
      <c r="O8">
        <f>O6+O7</f>
        <v>377308.0</v>
      </c>
      <c r="P8">
        <f>P6+P7</f>
        <v>383813.0</v>
      </c>
      <c r="Q8">
        <f>Q6+Q7</f>
        <v>390319.0</v>
      </c>
      <c r="R8">
        <f>R6+R7</f>
        <v>396824.0</v>
      </c>
      <c r="S8">
        <f>S6+S7</f>
        <v>403329.0</v>
      </c>
      <c r="T8">
        <f>T6+T7</f>
        <v>409835.0</v>
      </c>
      <c r="U8">
        <f>U6+U7</f>
        <v>416340.0</v>
      </c>
      <c r="V8">
        <f>V6+V7</f>
        <v>422845.0</v>
      </c>
      <c r="W8">
        <f>W6+W7</f>
        <v>429351.0</v>
      </c>
      <c r="X8">
        <f>X6+X7</f>
        <v>435856.0</v>
      </c>
      <c r="Y8">
        <f>Y6+Y7</f>
        <v>442361.0</v>
      </c>
      <c r="Z8">
        <f>Z6+Z7</f>
        <v>448867.0</v>
      </c>
    </row>
    <row r="10">
      <c r="A10" t="inlineStr">
        <is>
          <t>Cost of sales</t>
        </is>
      </c>
      <c r="C10">
        <f>ROUND(Revenue!C15*Assumptions!$B$11,0)</f>
        <v>327712.0</v>
      </c>
      <c r="D10">
        <f>ROUND(Revenue!D15*Assumptions!$B$11,0)</f>
        <v>336556.0</v>
      </c>
      <c r="E10">
        <f>ROUND(Revenue!E15*Assumptions!$B$11,0)</f>
        <v>345645.0</v>
      </c>
      <c r="F10">
        <f>ROUND(Revenue!F15*Assumptions!$B$11,0)</f>
        <v>354949.0</v>
      </c>
      <c r="G10">
        <f>ROUND(Revenue!G15*Assumptions!$B$11,0)</f>
        <v>364535.0</v>
      </c>
      <c r="H10">
        <f>ROUND(Revenue!H15*Assumptions!$B$11,0)</f>
        <v>374344.0</v>
      </c>
      <c r="I10">
        <f>ROUND(Revenue!I15*Assumptions!$B$11,0)</f>
        <v>384444.0</v>
      </c>
      <c r="J10">
        <f>ROUND(Revenue!J15*Assumptions!$B$11,0)</f>
        <v>394840.0</v>
      </c>
      <c r="K10">
        <f>ROUND(Revenue!K15*Assumptions!$B$11,0)</f>
        <v>405470.0</v>
      </c>
      <c r="L10">
        <f>ROUND(Revenue!L15*Assumptions!$B$11,0)</f>
        <v>416375.0</v>
      </c>
      <c r="M10">
        <f>ROUND(Revenue!M15*Assumptions!$B$11,0)</f>
        <v>427583.0</v>
      </c>
      <c r="N10">
        <f>ROUND(Revenue!N15*Assumptions!$B$11,0)</f>
        <v>439106.0</v>
      </c>
      <c r="O10">
        <f>ROUND(Revenue!O15*Assumptions!$B$11,0)</f>
        <v>450949.0</v>
      </c>
      <c r="P10">
        <f>ROUND(Revenue!P15*Assumptions!$B$11,0)</f>
        <v>463111.0</v>
      </c>
      <c r="Q10">
        <f>ROUND(Revenue!Q15*Assumptions!$B$11,0)</f>
        <v>475572.0</v>
      </c>
      <c r="R10">
        <f>ROUND(Revenue!R15*Assumptions!$B$11,0)</f>
        <v>488360.0</v>
      </c>
      <c r="S10">
        <f>ROUND(Revenue!S15*Assumptions!$B$11,0)</f>
        <v>501522.0</v>
      </c>
      <c r="T10">
        <f>ROUND(Revenue!T15*Assumptions!$B$11,0)</f>
        <v>515064.0</v>
      </c>
      <c r="U10">
        <f>ROUND(Revenue!U15*Assumptions!$B$11,0)</f>
        <v>528950.0</v>
      </c>
      <c r="V10">
        <f>ROUND(Revenue!V15*Assumptions!$B$11,0)</f>
        <v>543196.0</v>
      </c>
      <c r="W10">
        <f>ROUND(Revenue!W15*Assumptions!$B$11,0)</f>
        <v>557841.0</v>
      </c>
      <c r="X10">
        <f>ROUND(Revenue!X15*Assumptions!$B$11,0)</f>
        <v>572845.0</v>
      </c>
      <c r="Y10">
        <f>ROUND(Revenue!Y15*Assumptions!$B$11,0)</f>
        <v>588261.0</v>
      </c>
      <c r="Z10">
        <f>ROUND(Revenue!Z15*Assumptions!$B$11,0)</f>
        <v>604131.0</v>
      </c>
    </row>
    <row r="11">
      <c r="A11" t="inlineStr">
        <is>
          <t>Marketing</t>
        </is>
      </c>
      <c r="C11">
        <f>ROUND(Revenue!C15*Assumptions!$B$16,0)</f>
        <v>118547.0</v>
      </c>
      <c r="D11">
        <f>ROUND(Revenue!D15*Assumptions!$B$16,0)</f>
        <v>121746.0</v>
      </c>
      <c r="E11">
        <f>ROUND(Revenue!E15*Assumptions!$B$16,0)</f>
        <v>125034.0</v>
      </c>
      <c r="F11">
        <f>ROUND(Revenue!F15*Assumptions!$B$16,0)</f>
        <v>128399.0</v>
      </c>
      <c r="G11">
        <f>ROUND(Revenue!G15*Assumptions!$B$16,0)</f>
        <v>131867.0</v>
      </c>
      <c r="H11">
        <f>ROUND(Revenue!H15*Assumptions!$B$16,0)</f>
        <v>135415.0</v>
      </c>
      <c r="I11">
        <f>ROUND(Revenue!I15*Assumptions!$B$16,0)</f>
        <v>139069.0</v>
      </c>
      <c r="J11">
        <f>ROUND(Revenue!J15*Assumptions!$B$16,0)</f>
        <v>142830.0</v>
      </c>
      <c r="K11">
        <f>ROUND(Revenue!K15*Assumptions!$B$16,0)</f>
        <v>146675.0</v>
      </c>
      <c r="L11">
        <f>ROUND(Revenue!L15*Assumptions!$B$16,0)</f>
        <v>150620.0</v>
      </c>
      <c r="M11">
        <f>ROUND(Revenue!M15*Assumptions!$B$16,0)</f>
        <v>154674.0</v>
      </c>
      <c r="N11">
        <f>ROUND(Revenue!N15*Assumptions!$B$16,0)</f>
        <v>158842.0</v>
      </c>
      <c r="O11">
        <f>ROUND(Revenue!O15*Assumptions!$B$16,0)</f>
        <v>163127.0</v>
      </c>
      <c r="P11">
        <f>ROUND(Revenue!P15*Assumptions!$B$16,0)</f>
        <v>167526.0</v>
      </c>
      <c r="Q11">
        <f>ROUND(Revenue!Q15*Assumptions!$B$16,0)</f>
        <v>172034.0</v>
      </c>
      <c r="R11">
        <f>ROUND(Revenue!R15*Assumptions!$B$16,0)</f>
        <v>176659.0</v>
      </c>
      <c r="S11">
        <f>ROUND(Revenue!S15*Assumptions!$B$16,0)</f>
        <v>181421.0</v>
      </c>
      <c r="T11">
        <f>ROUND(Revenue!T15*Assumptions!$B$16,0)</f>
        <v>186320.0</v>
      </c>
      <c r="U11">
        <f>ROUND(Revenue!U15*Assumptions!$B$16,0)</f>
        <v>191343.0</v>
      </c>
      <c r="V11">
        <f>ROUND(Revenue!V15*Assumptions!$B$16,0)</f>
        <v>196496.0</v>
      </c>
      <c r="W11">
        <f>ROUND(Revenue!W15*Assumptions!$B$16,0)</f>
        <v>201793.0</v>
      </c>
      <c r="X11">
        <f>ROUND(Revenue!X15*Assumptions!$B$16,0)</f>
        <v>207221.0</v>
      </c>
      <c r="Y11">
        <f>ROUND(Revenue!Y15*Assumptions!$B$16,0)</f>
        <v>212798.0</v>
      </c>
      <c r="Z11">
        <f>ROUND(Revenue!Z15*Assumptions!$B$16,0)</f>
        <v>218538.0</v>
      </c>
    </row>
    <row r="12">
      <c r="A12" t="inlineStr">
        <is>
          <t>Overhead</t>
        </is>
      </c>
      <c r="C12">
        <f>ROUND(Assumptions!$B$17,0)</f>
        <v>68000.0</v>
      </c>
      <c r="D12">
        <f>ROUND(C12*(1+Assumptions!$B$18),0)</f>
        <v>68272.0</v>
      </c>
      <c r="E12">
        <f>ROUND(D12*(1+Assumptions!$B$18),0)</f>
        <v>68545.0</v>
      </c>
      <c r="F12">
        <f>ROUND(E12*(1+Assumptions!$B$18),0)</f>
        <v>68819.0</v>
      </c>
      <c r="G12">
        <f>ROUND(F12*(1+Assumptions!$B$18),0)</f>
        <v>69094.0</v>
      </c>
      <c r="H12">
        <f>ROUND(G12*(1+Assumptions!$B$18),0)</f>
        <v>69370.0</v>
      </c>
      <c r="I12">
        <f>ROUND(H12*(1+Assumptions!$B$18),0)</f>
        <v>69647.0</v>
      </c>
      <c r="J12">
        <f>ROUND(I12*(1+Assumptions!$B$18),0)</f>
        <v>69926.0</v>
      </c>
      <c r="K12">
        <f>ROUND(J12*(1+Assumptions!$B$18),0)</f>
        <v>70206.0</v>
      </c>
      <c r="L12">
        <f>ROUND(K12*(1+Assumptions!$B$18),0)</f>
        <v>70487.0</v>
      </c>
      <c r="M12">
        <f>ROUND(L12*(1+Assumptions!$B$18),0)</f>
        <v>70769.0</v>
      </c>
      <c r="N12">
        <f>ROUND(M12*(1+Assumptions!$B$18),0)</f>
        <v>71052.0</v>
      </c>
      <c r="O12">
        <f>ROUND(N12*(1+Assumptions!$B$18),0)</f>
        <v>71336.0</v>
      </c>
      <c r="P12">
        <f>ROUND(O12*(1+Assumptions!$B$18),0)</f>
        <v>71621.0</v>
      </c>
      <c r="Q12">
        <f>ROUND(P12*(1+Assumptions!$B$18),0)</f>
        <v>71907.0</v>
      </c>
      <c r="R12">
        <f>ROUND(Q12*(1+Assumptions!$B$18),0)</f>
        <v>72195.0</v>
      </c>
      <c r="S12">
        <f>ROUND(R12*(1+Assumptions!$B$18),0)</f>
        <v>72484.0</v>
      </c>
      <c r="T12">
        <f>ROUND(S12*(1+Assumptions!$B$18),0)</f>
        <v>72774.0</v>
      </c>
      <c r="U12">
        <f>ROUND(T12*(1+Assumptions!$B$18),0)</f>
        <v>73065.0</v>
      </c>
      <c r="V12">
        <f>ROUND(U12*(1+Assumptions!$B$18),0)</f>
        <v>73357.0</v>
      </c>
      <c r="W12">
        <f>ROUND(V12*(1+Assumptions!$B$18),0)</f>
        <v>73650.0</v>
      </c>
      <c r="X12">
        <f>ROUND(W12*(1+Assumptions!$B$18),0)</f>
        <v>73945.0</v>
      </c>
      <c r="Y12">
        <f>ROUND(X12*(1+Assumptions!$B$18),0)</f>
        <v>74241.0</v>
      </c>
      <c r="Z12">
        <f>ROUND(Y12*(1+Assumptions!$B$18),0)</f>
        <v>74538.0</v>
      </c>
    </row>
    <row r="14">
      <c r="A14" t="inlineStr">
        <is>
          <t>Total costs</t>
        </is>
      </c>
      <c r="C14">
        <f>C8+C10+C11+C12</f>
        <v>813503.0</v>
      </c>
      <c r="D14">
        <f>D8+D10+D11+D12</f>
        <v>832324.0</v>
      </c>
      <c r="E14">
        <f>E8+E10+E11+E12</f>
        <v>851479.0</v>
      </c>
      <c r="F14">
        <f>F8+F10+F11+F12</f>
        <v>870927.0</v>
      </c>
      <c r="G14">
        <f>G8+G10+G11+G12</f>
        <v>890762.0</v>
      </c>
      <c r="H14">
        <f>H8+H10+H11+H12</f>
        <v>910900.0</v>
      </c>
      <c r="I14">
        <f>I8+I10+I11+I12</f>
        <v>931436.0</v>
      </c>
      <c r="J14">
        <f>J8+J10+J11+J12</f>
        <v>952378.0</v>
      </c>
      <c r="K14">
        <f>K8+K10+K11+K12</f>
        <v>973638.0</v>
      </c>
      <c r="L14">
        <f>L8+L10+L11+L12</f>
        <v>995274.0</v>
      </c>
      <c r="M14">
        <f>M8+M10+M11+M12</f>
        <v>1017324.0</v>
      </c>
      <c r="N14">
        <f>N8+N10+N11+N12</f>
        <v>1039803.0</v>
      </c>
      <c r="O14">
        <f>O8+O10+O11+O12</f>
        <v>1062720.0</v>
      </c>
      <c r="P14">
        <f>P8+P10+P11+P12</f>
        <v>1086071.0</v>
      </c>
      <c r="Q14">
        <f>Q8+Q10+Q11+Q12</f>
        <v>1109832.0</v>
      </c>
      <c r="R14">
        <f>R8+R10+R11+R12</f>
        <v>1134038.0</v>
      </c>
      <c r="S14">
        <f>S8+S10+S11+S12</f>
        <v>1158756.0</v>
      </c>
      <c r="T14">
        <f>T8+T10+T11+T12</f>
        <v>1183993.0</v>
      </c>
      <c r="U14">
        <f>U8+U10+U11+U12</f>
        <v>1209698.0</v>
      </c>
      <c r="V14">
        <f>V8+V10+V11+V12</f>
        <v>1235894.0</v>
      </c>
      <c r="W14">
        <f>W8+W10+W11+W12</f>
        <v>1262635.0</v>
      </c>
      <c r="X14">
        <f>X8+X10+X11+X12</f>
        <v>1289867.0</v>
      </c>
      <c r="Y14">
        <f>Y8+Y10+Y11+Y12</f>
        <v>1317661.0</v>
      </c>
      <c r="Z14">
        <f>Z8+Z10+Z11+Z12</f>
        <v>1346074.0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1178398.0</v>
      </c>
      <c r="D5">
        <f>Revenue!D15</f>
        <v>1210199.0</v>
      </c>
      <c r="E5">
        <f>Revenue!E15</f>
        <v>1242880.0</v>
      </c>
      <c r="F5">
        <f>Revenue!F15</f>
        <v>1276336.0</v>
      </c>
      <c r="G5">
        <f>Revenue!G15</f>
        <v>1310806.0</v>
      </c>
      <c r="H5">
        <f>Revenue!H15</f>
        <v>1346078.0</v>
      </c>
      <c r="I5">
        <f>Revenue!I15</f>
        <v>1382395.0</v>
      </c>
      <c r="J5">
        <f>Revenue!J15</f>
        <v>1419777.0</v>
      </c>
      <c r="K5">
        <f>Revenue!K15</f>
        <v>1458001.0</v>
      </c>
      <c r="L5">
        <f>Revenue!L15</f>
        <v>1497212.0</v>
      </c>
      <c r="M5">
        <f>Revenue!M15</f>
        <v>1537514.0</v>
      </c>
      <c r="N5">
        <f>Revenue!N15</f>
        <v>1578949.0</v>
      </c>
      <c r="O5">
        <f>Revenue!O15</f>
        <v>1621537.0</v>
      </c>
      <c r="P5">
        <f>Revenue!P15</f>
        <v>1665268.0</v>
      </c>
      <c r="Q5">
        <f>Revenue!Q15</f>
        <v>1710075.0</v>
      </c>
      <c r="R5">
        <f>Revenue!R15</f>
        <v>1756058.0</v>
      </c>
      <c r="S5">
        <f>Revenue!S15</f>
        <v>1803386.0</v>
      </c>
      <c r="T5">
        <f>Revenue!T15</f>
        <v>1852083.0</v>
      </c>
      <c r="U5">
        <f>Revenue!U15</f>
        <v>1902014.0</v>
      </c>
      <c r="V5">
        <f>Revenue!V15</f>
        <v>1953239.0</v>
      </c>
      <c r="W5">
        <f>Revenue!W15</f>
        <v>2005899.0</v>
      </c>
      <c r="X5">
        <f>Revenue!X15</f>
        <v>2059852.0</v>
      </c>
      <c r="Y5">
        <f>Revenue!Y15</f>
        <v>2115285.0</v>
      </c>
      <c r="Z5">
        <f>Revenue!Z15</f>
        <v>2172350.0</v>
      </c>
      <c r="AA5">
        <f>SUM(C5:Z5)</f>
        <v>39055591.0</v>
      </c>
    </row>
    <row r="6">
      <c r="A6" t="inlineStr">
        <is>
          <t>Cost of sales</t>
        </is>
      </c>
      <c r="C6">
        <f>-Costs!C10</f>
        <v>-327712.0</v>
      </c>
      <c r="D6">
        <f>-Costs!D10</f>
        <v>-336556.0</v>
      </c>
      <c r="E6">
        <f>-Costs!E10</f>
        <v>-345645.0</v>
      </c>
      <c r="F6">
        <f>-Costs!F10</f>
        <v>-354949.0</v>
      </c>
      <c r="G6">
        <f>-Costs!G10</f>
        <v>-364535.0</v>
      </c>
      <c r="H6">
        <f>-Costs!H10</f>
        <v>-374344.0</v>
      </c>
      <c r="I6">
        <f>-Costs!I10</f>
        <v>-384444.0</v>
      </c>
      <c r="J6">
        <f>-Costs!J10</f>
        <v>-394840.0</v>
      </c>
      <c r="K6">
        <f>-Costs!K10</f>
        <v>-405470.0</v>
      </c>
      <c r="L6">
        <f>-Costs!L10</f>
        <v>-416375.0</v>
      </c>
      <c r="M6">
        <f>-Costs!M10</f>
        <v>-427583.0</v>
      </c>
      <c r="N6">
        <f>-Costs!N10</f>
        <v>-439106.0</v>
      </c>
      <c r="O6">
        <f>-Costs!O10</f>
        <v>-450949.0</v>
      </c>
      <c r="P6">
        <f>-Costs!P10</f>
        <v>-463111.0</v>
      </c>
      <c r="Q6">
        <f>-Costs!Q10</f>
        <v>-475572.0</v>
      </c>
      <c r="R6">
        <f>-Costs!R10</f>
        <v>-488360.0</v>
      </c>
      <c r="S6">
        <f>-Costs!S10</f>
        <v>-501522.0</v>
      </c>
      <c r="T6">
        <f>-Costs!T10</f>
        <v>-515064.0</v>
      </c>
      <c r="U6">
        <f>-Costs!U10</f>
        <v>-528950.0</v>
      </c>
      <c r="V6">
        <f>-Costs!V10</f>
        <v>-543196.0</v>
      </c>
      <c r="W6">
        <f>-Costs!W10</f>
        <v>-557841.0</v>
      </c>
      <c r="X6">
        <f>-Costs!X10</f>
        <v>-572845.0</v>
      </c>
      <c r="Y6">
        <f>-Costs!Y10</f>
        <v>-588261.0</v>
      </c>
      <c r="Z6">
        <f>-Costs!Z10</f>
        <v>-604131.0</v>
      </c>
      <c r="AA6">
        <f>SUM(C6:Z6)</f>
        <v>-10861361.0</v>
      </c>
    </row>
    <row r="7">
      <c r="A7" t="inlineStr">
        <is>
          <t>Gross profit</t>
        </is>
      </c>
      <c r="C7">
        <f>C5+C6</f>
        <v>850686.0</v>
      </c>
      <c r="D7">
        <f>D5+D6</f>
        <v>873643.0</v>
      </c>
      <c r="E7">
        <f>E5+E6</f>
        <v>897235.0</v>
      </c>
      <c r="F7">
        <f>F5+F6</f>
        <v>921387.0</v>
      </c>
      <c r="G7">
        <f>G5+G6</f>
        <v>946271.0</v>
      </c>
      <c r="H7">
        <f>H5+H6</f>
        <v>971734.0</v>
      </c>
      <c r="I7">
        <f>I5+I6</f>
        <v>997951.0</v>
      </c>
      <c r="J7">
        <f>J5+J6</f>
        <v>1024937.0</v>
      </c>
      <c r="K7">
        <f>K5+K6</f>
        <v>1052531.0</v>
      </c>
      <c r="L7">
        <f>L5+L6</f>
        <v>1080837.0</v>
      </c>
      <c r="M7">
        <f>M5+M6</f>
        <v>1109931.0</v>
      </c>
      <c r="N7">
        <f>N5+N6</f>
        <v>1139843.0</v>
      </c>
      <c r="O7">
        <f>O5+O6</f>
        <v>1170588.0</v>
      </c>
      <c r="P7">
        <f>P5+P6</f>
        <v>1202157.0</v>
      </c>
      <c r="Q7">
        <f>Q5+Q6</f>
        <v>1234503.0</v>
      </c>
      <c r="R7">
        <f>R5+R6</f>
        <v>1267698.0</v>
      </c>
      <c r="S7">
        <f>S5+S6</f>
        <v>1301864.0</v>
      </c>
      <c r="T7">
        <f>T5+T6</f>
        <v>1337019.0</v>
      </c>
      <c r="U7">
        <f>U5+U6</f>
        <v>1373064.0</v>
      </c>
      <c r="V7">
        <f>V5+V6</f>
        <v>1410043.0</v>
      </c>
      <c r="W7">
        <f>W5+W6</f>
        <v>1448058.0</v>
      </c>
      <c r="X7">
        <f>X5+X6</f>
        <v>1487007.0</v>
      </c>
      <c r="Y7">
        <f>Y5+Y6</f>
        <v>1527024.0</v>
      </c>
      <c r="Z7">
        <f>Z5+Z6</f>
        <v>1568219.0</v>
      </c>
      <c r="AA7">
        <f>SUM(C7:Z7)</f>
        <v>28194230.0</v>
      </c>
    </row>
    <row r="8">
      <c r="A8" t="inlineStr">
        <is>
          <t>Gross margin</t>
        </is>
      </c>
      <c r="C8">
        <f>IF(C5=0,0,ROUND(C7/C5,4))</f>
        <v>0.7219</v>
      </c>
      <c r="D8">
        <f>IF(D5=0,0,ROUND(D7/D5,4))</f>
        <v>0.7219</v>
      </c>
      <c r="E8">
        <f>IF(E5=0,0,ROUND(E7/E5,4))</f>
        <v>0.7219</v>
      </c>
      <c r="F8">
        <f>IF(F5=0,0,ROUND(F7/F5,4))</f>
        <v>0.7219</v>
      </c>
      <c r="G8">
        <f>IF(G5=0,0,ROUND(G7/G5,4))</f>
        <v>0.7219</v>
      </c>
      <c r="H8">
        <f>IF(H5=0,0,ROUND(H7/H5,4))</f>
        <v>0.7219</v>
      </c>
      <c r="I8">
        <f>IF(I5=0,0,ROUND(I7/I5,4))</f>
        <v>0.7219</v>
      </c>
      <c r="J8">
        <f>IF(J5=0,0,ROUND(J7/J5,4))</f>
        <v>0.7219</v>
      </c>
      <c r="K8">
        <f>IF(K5=0,0,ROUND(K7/K5,4))</f>
        <v>0.7219</v>
      </c>
      <c r="L8">
        <f>IF(L5=0,0,ROUND(L7/L5,4))</f>
        <v>0.7219</v>
      </c>
      <c r="M8">
        <f>IF(M5=0,0,ROUND(M7/M5,4))</f>
        <v>0.7219</v>
      </c>
      <c r="N8">
        <f>IF(N5=0,0,ROUND(N7/N5,4))</f>
        <v>0.7219</v>
      </c>
      <c r="O8">
        <f>IF(O5=0,0,ROUND(O7/O5,4))</f>
        <v>0.7219</v>
      </c>
      <c r="P8">
        <f>IF(P5=0,0,ROUND(P7/P5,4))</f>
        <v>0.7219</v>
      </c>
      <c r="Q8">
        <f>IF(Q5=0,0,ROUND(Q7/Q5,4))</f>
        <v>0.7219</v>
      </c>
      <c r="R8">
        <f>IF(R5=0,0,ROUND(R7/R5,4))</f>
        <v>0.7219</v>
      </c>
      <c r="S8">
        <f>IF(S5=0,0,ROUND(S7/S5,4))</f>
        <v>0.7219</v>
      </c>
      <c r="T8">
        <f>IF(T5=0,0,ROUND(T7/T5,4))</f>
        <v>0.7219</v>
      </c>
      <c r="U8">
        <f>IF(U5=0,0,ROUND(U7/U5,4))</f>
        <v>0.7219</v>
      </c>
      <c r="V8">
        <f>IF(V5=0,0,ROUND(V7/V5,4))</f>
        <v>0.7219</v>
      </c>
      <c r="W8">
        <f>IF(W5=0,0,ROUND(W7/W5,4))</f>
        <v>0.7219</v>
      </c>
      <c r="X8">
        <f>IF(X5=0,0,ROUND(X7/X5,4))</f>
        <v>0.7219</v>
      </c>
      <c r="Y8">
        <f>IF(Y5=0,0,ROUND(Y7/Y5,4))</f>
        <v>0.7219</v>
      </c>
      <c r="Z8">
        <f>IF(Z5=0,0,ROUND(Z7/Z5,4))</f>
        <v>0.7219</v>
      </c>
    </row>
    <row r="10">
      <c r="A10" t="inlineStr">
        <is>
          <t>Staff costs</t>
        </is>
      </c>
      <c r="C10">
        <f>-Costs!C8</f>
        <v>-299244.0</v>
      </c>
      <c r="D10">
        <f>-Costs!D8</f>
        <v>-305750.0</v>
      </c>
      <c r="E10">
        <f>-Costs!E8</f>
        <v>-312255.0</v>
      </c>
      <c r="F10">
        <f>-Costs!F8</f>
        <v>-318760.0</v>
      </c>
      <c r="G10">
        <f>-Costs!G8</f>
        <v>-325266.0</v>
      </c>
      <c r="H10">
        <f>-Costs!H8</f>
        <v>-331771.0</v>
      </c>
      <c r="I10">
        <f>-Costs!I8</f>
        <v>-338276.0</v>
      </c>
      <c r="J10">
        <f>-Costs!J8</f>
        <v>-344782.0</v>
      </c>
      <c r="K10">
        <f>-Costs!K8</f>
        <v>-351287.0</v>
      </c>
      <c r="L10">
        <f>-Costs!L8</f>
        <v>-357792.0</v>
      </c>
      <c r="M10">
        <f>-Costs!M8</f>
        <v>-364298.0</v>
      </c>
      <c r="N10">
        <f>-Costs!N8</f>
        <v>-370803.0</v>
      </c>
      <c r="O10">
        <f>-Costs!O8</f>
        <v>-377308.0</v>
      </c>
      <c r="P10">
        <f>-Costs!P8</f>
        <v>-383813.0</v>
      </c>
      <c r="Q10">
        <f>-Costs!Q8</f>
        <v>-390319.0</v>
      </c>
      <c r="R10">
        <f>-Costs!R8</f>
        <v>-396824.0</v>
      </c>
      <c r="S10">
        <f>-Costs!S8</f>
        <v>-403329.0</v>
      </c>
      <c r="T10">
        <f>-Costs!T8</f>
        <v>-409835.0</v>
      </c>
      <c r="U10">
        <f>-Costs!U8</f>
        <v>-416340.0</v>
      </c>
      <c r="V10">
        <f>-Costs!V8</f>
        <v>-422845.0</v>
      </c>
      <c r="W10">
        <f>-Costs!W8</f>
        <v>-429351.0</v>
      </c>
      <c r="X10">
        <f>-Costs!X8</f>
        <v>-435856.0</v>
      </c>
      <c r="Y10">
        <f>-Costs!Y8</f>
        <v>-442361.0</v>
      </c>
      <c r="Z10">
        <f>-Costs!Z8</f>
        <v>-448867.0</v>
      </c>
      <c r="AA10">
        <f>SUM(C10:Z10)</f>
        <v>-8977332.0</v>
      </c>
    </row>
    <row r="11">
      <c r="A11" t="inlineStr">
        <is>
          <t>Marketing</t>
        </is>
      </c>
      <c r="C11">
        <f>-Costs!C11</f>
        <v>-118547.0</v>
      </c>
      <c r="D11">
        <f>-Costs!D11</f>
        <v>-121746.0</v>
      </c>
      <c r="E11">
        <f>-Costs!E11</f>
        <v>-125034.0</v>
      </c>
      <c r="F11">
        <f>-Costs!F11</f>
        <v>-128399.0</v>
      </c>
      <c r="G11">
        <f>-Costs!G11</f>
        <v>-131867.0</v>
      </c>
      <c r="H11">
        <f>-Costs!H11</f>
        <v>-135415.0</v>
      </c>
      <c r="I11">
        <f>-Costs!I11</f>
        <v>-139069.0</v>
      </c>
      <c r="J11">
        <f>-Costs!J11</f>
        <v>-142830.0</v>
      </c>
      <c r="K11">
        <f>-Costs!K11</f>
        <v>-146675.0</v>
      </c>
      <c r="L11">
        <f>-Costs!L11</f>
        <v>-150620.0</v>
      </c>
      <c r="M11">
        <f>-Costs!M11</f>
        <v>-154674.0</v>
      </c>
      <c r="N11">
        <f>-Costs!N11</f>
        <v>-158842.0</v>
      </c>
      <c r="O11">
        <f>-Costs!O11</f>
        <v>-163127.0</v>
      </c>
      <c r="P11">
        <f>-Costs!P11</f>
        <v>-167526.0</v>
      </c>
      <c r="Q11">
        <f>-Costs!Q11</f>
        <v>-172034.0</v>
      </c>
      <c r="R11">
        <f>-Costs!R11</f>
        <v>-176659.0</v>
      </c>
      <c r="S11">
        <f>-Costs!S11</f>
        <v>-181421.0</v>
      </c>
      <c r="T11">
        <f>-Costs!T11</f>
        <v>-186320.0</v>
      </c>
      <c r="U11">
        <f>-Costs!U11</f>
        <v>-191343.0</v>
      </c>
      <c r="V11">
        <f>-Costs!V11</f>
        <v>-196496.0</v>
      </c>
      <c r="W11">
        <f>-Costs!W11</f>
        <v>-201793.0</v>
      </c>
      <c r="X11">
        <f>-Costs!X11</f>
        <v>-207221.0</v>
      </c>
      <c r="Y11">
        <f>-Costs!Y11</f>
        <v>-212798.0</v>
      </c>
      <c r="Z11">
        <f>-Costs!Z11</f>
        <v>-218538.0</v>
      </c>
      <c r="AA11">
        <f>SUM(C11:Z11)</f>
        <v>-3928994.0</v>
      </c>
    </row>
    <row r="12">
      <c r="A12" t="inlineStr">
        <is>
          <t>Overhead</t>
        </is>
      </c>
      <c r="C12">
        <f>-Costs!C12</f>
        <v>-68000.0</v>
      </c>
      <c r="D12">
        <f>-Costs!D12</f>
        <v>-68272.0</v>
      </c>
      <c r="E12">
        <f>-Costs!E12</f>
        <v>-68545.0</v>
      </c>
      <c r="F12">
        <f>-Costs!F12</f>
        <v>-68819.0</v>
      </c>
      <c r="G12">
        <f>-Costs!G12</f>
        <v>-69094.0</v>
      </c>
      <c r="H12">
        <f>-Costs!H12</f>
        <v>-69370.0</v>
      </c>
      <c r="I12">
        <f>-Costs!I12</f>
        <v>-69647.0</v>
      </c>
      <c r="J12">
        <f>-Costs!J12</f>
        <v>-69926.0</v>
      </c>
      <c r="K12">
        <f>-Costs!K12</f>
        <v>-70206.0</v>
      </c>
      <c r="L12">
        <f>-Costs!L12</f>
        <v>-70487.0</v>
      </c>
      <c r="M12">
        <f>-Costs!M12</f>
        <v>-70769.0</v>
      </c>
      <c r="N12">
        <f>-Costs!N12</f>
        <v>-71052.0</v>
      </c>
      <c r="O12">
        <f>-Costs!O12</f>
        <v>-71336.0</v>
      </c>
      <c r="P12">
        <f>-Costs!P12</f>
        <v>-71621.0</v>
      </c>
      <c r="Q12">
        <f>-Costs!Q12</f>
        <v>-71907.0</v>
      </c>
      <c r="R12">
        <f>-Costs!R12</f>
        <v>-72195.0</v>
      </c>
      <c r="S12">
        <f>-Costs!S12</f>
        <v>-72484.0</v>
      </c>
      <c r="T12">
        <f>-Costs!T12</f>
        <v>-72774.0</v>
      </c>
      <c r="U12">
        <f>-Costs!U12</f>
        <v>-73065.0</v>
      </c>
      <c r="V12">
        <f>-Costs!V12</f>
        <v>-73357.0</v>
      </c>
      <c r="W12">
        <f>-Costs!W12</f>
        <v>-73650.0</v>
      </c>
      <c r="X12">
        <f>-Costs!X12</f>
        <v>-73945.0</v>
      </c>
      <c r="Y12">
        <f>-Costs!Y12</f>
        <v>-74241.0</v>
      </c>
      <c r="Z12">
        <f>-Costs!Z12</f>
        <v>-74538.0</v>
      </c>
      <c r="AA12">
        <f>SUM(C12:Z12)</f>
        <v>-1709300.0</v>
      </c>
    </row>
    <row r="13">
      <c r="A13" t="inlineStr">
        <is>
          <t>Total operating costs</t>
        </is>
      </c>
      <c r="C13">
        <f>C10+C11+C12</f>
        <v>-485791.0</v>
      </c>
      <c r="D13">
        <f>D10+D11+D12</f>
        <v>-495768.0</v>
      </c>
      <c r="E13">
        <f>E10+E11+E12</f>
        <v>-505834.0</v>
      </c>
      <c r="F13">
        <f>F10+F11+F12</f>
        <v>-515978.0</v>
      </c>
      <c r="G13">
        <f>G10+G11+G12</f>
        <v>-526227.0</v>
      </c>
      <c r="H13">
        <f>H10+H11+H12</f>
        <v>-536556.0</v>
      </c>
      <c r="I13">
        <f>I10+I11+I12</f>
        <v>-546992.0</v>
      </c>
      <c r="J13">
        <f>J10+J11+J12</f>
        <v>-557538.0</v>
      </c>
      <c r="K13">
        <f>K10+K11+K12</f>
        <v>-568168.0</v>
      </c>
      <c r="L13">
        <f>L10+L11+L12</f>
        <v>-578899.0</v>
      </c>
      <c r="M13">
        <f>M10+M11+M12</f>
        <v>-589741.0</v>
      </c>
      <c r="N13">
        <f>N10+N11+N12</f>
        <v>-600697.0</v>
      </c>
      <c r="O13">
        <f>O10+O11+O12</f>
        <v>-611771.0</v>
      </c>
      <c r="P13">
        <f>P10+P11+P12</f>
        <v>-622960.0</v>
      </c>
      <c r="Q13">
        <f>Q10+Q11+Q12</f>
        <v>-634260.0</v>
      </c>
      <c r="R13">
        <f>R10+R11+R12</f>
        <v>-645678.0</v>
      </c>
      <c r="S13">
        <f>S10+S11+S12</f>
        <v>-657234.0</v>
      </c>
      <c r="T13">
        <f>T10+T11+T12</f>
        <v>-668929.0</v>
      </c>
      <c r="U13">
        <f>U10+U11+U12</f>
        <v>-680748.0</v>
      </c>
      <c r="V13">
        <f>V10+V11+V12</f>
        <v>-692698.0</v>
      </c>
      <c r="W13">
        <f>W10+W11+W12</f>
        <v>-704794.0</v>
      </c>
      <c r="X13">
        <f>X10+X11+X12</f>
        <v>-717022.0</v>
      </c>
      <c r="Y13">
        <f>Y10+Y11+Y12</f>
        <v>-729400.0</v>
      </c>
      <c r="Z13">
        <f>Z10+Z11+Z12</f>
        <v>-741943.0</v>
      </c>
      <c r="AA13">
        <f>SUM(C13:Z13)</f>
        <v>-14615626.0</v>
      </c>
    </row>
    <row r="15">
      <c r="A15" t="inlineStr">
        <is>
          <t>EBITDA</t>
        </is>
      </c>
      <c r="C15">
        <f>C7+C13</f>
        <v>364895.0</v>
      </c>
      <c r="D15">
        <f>D7+D13</f>
        <v>377875.0</v>
      </c>
      <c r="E15">
        <f>E7+E13</f>
        <v>391401.0</v>
      </c>
      <c r="F15">
        <f>F7+F13</f>
        <v>405409.0</v>
      </c>
      <c r="G15">
        <f>G7+G13</f>
        <v>420044.0</v>
      </c>
      <c r="H15">
        <f>H7+H13</f>
        <v>435178.0</v>
      </c>
      <c r="I15">
        <f>I7+I13</f>
        <v>450959.0</v>
      </c>
      <c r="J15">
        <f>J7+J13</f>
        <v>467399.0</v>
      </c>
      <c r="K15">
        <f>K7+K13</f>
        <v>484363.0</v>
      </c>
      <c r="L15">
        <f>L7+L13</f>
        <v>501938.0</v>
      </c>
      <c r="M15">
        <f>M7+M13</f>
        <v>520190.0</v>
      </c>
      <c r="N15">
        <f>N7+N13</f>
        <v>539146.0</v>
      </c>
      <c r="O15">
        <f>O7+O13</f>
        <v>558817.0</v>
      </c>
      <c r="P15">
        <f>P7+P13</f>
        <v>579197.0</v>
      </c>
      <c r="Q15">
        <f>Q7+Q13</f>
        <v>600243.0</v>
      </c>
      <c r="R15">
        <f>R7+R13</f>
        <v>622020.0</v>
      </c>
      <c r="S15">
        <f>S7+S13</f>
        <v>644630.0</v>
      </c>
      <c r="T15">
        <f>T7+T13</f>
        <v>668090.0</v>
      </c>
      <c r="U15">
        <f>U7+U13</f>
        <v>692316.0</v>
      </c>
      <c r="V15">
        <f>V7+V13</f>
        <v>717345.0</v>
      </c>
      <c r="W15">
        <f>W7+W13</f>
        <v>743264.0</v>
      </c>
      <c r="X15">
        <f>X7+X13</f>
        <v>769985.0</v>
      </c>
      <c r="Y15">
        <f>Y7+Y13</f>
        <v>797624.0</v>
      </c>
      <c r="Z15">
        <f>Z7+Z13</f>
        <v>826276.0</v>
      </c>
      <c r="AA15">
        <f>SUM(C15:Y15)</f>
        <v>12752328.0</v>
      </c>
    </row>
    <row r="16">
      <c r="A16" t="inlineStr">
        <is>
          <t>EBITDA margin</t>
        </is>
      </c>
      <c r="C16">
        <f>IF(C5=0,0,ROUND(C15/C5,4))</f>
        <v>0.3097</v>
      </c>
      <c r="D16">
        <f>IF(D5=0,0,ROUND(D15/D5,4))</f>
        <v>0.3122</v>
      </c>
      <c r="E16">
        <f>IF(E5=0,0,ROUND(E15/E5,4))</f>
        <v>0.3149</v>
      </c>
      <c r="F16">
        <f>IF(F5=0,0,ROUND(F15/F5,4))</f>
        <v>0.3176</v>
      </c>
      <c r="G16">
        <f>IF(G5=0,0,ROUND(G15/G5,4))</f>
        <v>0.3204</v>
      </c>
      <c r="H16">
        <f>IF(H5=0,0,ROUND(H15/H5,4))</f>
        <v>0.3233</v>
      </c>
      <c r="I16">
        <f>IF(I5=0,0,ROUND(I15/I5,4))</f>
        <v>0.3262</v>
      </c>
      <c r="J16">
        <f>IF(J5=0,0,ROUND(J15/J5,4))</f>
        <v>0.3292</v>
      </c>
      <c r="K16">
        <f>IF(K5=0,0,ROUND(K15/K5,4))</f>
        <v>0.3322</v>
      </c>
      <c r="L16">
        <f>IF(L5=0,0,ROUND(L15/L5,4))</f>
        <v>0.3352</v>
      </c>
      <c r="M16">
        <f>IF(M5=0,0,ROUND(M15/M5,4))</f>
        <v>0.3383</v>
      </c>
      <c r="N16">
        <f>IF(N5=0,0,ROUND(N15/N5,4))</f>
        <v>0.3415</v>
      </c>
      <c r="O16">
        <f>IF(O5=0,0,ROUND(O15/O5,4))</f>
        <v>0.3446</v>
      </c>
      <c r="P16">
        <f>IF(P5=0,0,ROUND(P15/P5,4))</f>
        <v>0.3478</v>
      </c>
      <c r="Q16">
        <f>IF(Q5=0,0,ROUND(Q15/Q5,4))</f>
        <v>0.351</v>
      </c>
      <c r="R16">
        <f>IF(R5=0,0,ROUND(R15/R5,4))</f>
        <v>0.3542</v>
      </c>
      <c r="S16">
        <f>IF(S5=0,0,ROUND(S15/S5,4))</f>
        <v>0.3575</v>
      </c>
      <c r="T16">
        <f>IF(T5=0,0,ROUND(T15/T5,4))</f>
        <v>0.3607</v>
      </c>
      <c r="U16">
        <f>IF(U5=0,0,ROUND(U15/U5,4))</f>
        <v>0.364</v>
      </c>
      <c r="V16">
        <f>IF(V5=0,0,ROUND(V15/V5,4))</f>
        <v>0.3673</v>
      </c>
      <c r="W16">
        <f>IF(W5=0,0,ROUND(W15/W5,4))</f>
        <v>0.3705</v>
      </c>
      <c r="X16">
        <f>IF(X5=0,0,ROUND(X15/X5,4))</f>
        <v>0.3738</v>
      </c>
      <c r="Y16">
        <f>IF(Y5=0,0,ROUND(Y15/Y5,4))</f>
        <v>0.3771</v>
      </c>
      <c r="Z16">
        <f>IF(Z5=0,0,ROUND(Z15/Z5,4))</f>
        <v>0.3804</v>
      </c>
    </row>
    <row r="18">
      <c r="A18" t="inlineStr">
        <is>
          <t>Cumulative EBITDA</t>
        </is>
      </c>
      <c r="C18">
        <f>C15</f>
        <v>364895.0</v>
      </c>
      <c r="D18">
        <f>C18+D15</f>
        <v>742770.0</v>
      </c>
      <c r="E18">
        <f>D18+E15</f>
        <v>1134171.0</v>
      </c>
      <c r="F18">
        <f>E18+F15</f>
        <v>1539580.0</v>
      </c>
      <c r="G18">
        <f>F18+G15</f>
        <v>1959624.0</v>
      </c>
      <c r="H18">
        <f>G18+H15</f>
        <v>2394802.0</v>
      </c>
      <c r="I18">
        <f>H18+I15</f>
        <v>2845761.0</v>
      </c>
      <c r="J18">
        <f>I18+J15</f>
        <v>3313160.0</v>
      </c>
      <c r="K18">
        <f>J18+K15</f>
        <v>3797523.0</v>
      </c>
      <c r="L18">
        <f>K18+L15</f>
        <v>4299461.0</v>
      </c>
      <c r="M18">
        <f>L18+M15</f>
        <v>4819651.0</v>
      </c>
      <c r="N18">
        <f>M18+N15</f>
        <v>5358797.0</v>
      </c>
      <c r="O18">
        <f>N18+O15</f>
        <v>5917614.0</v>
      </c>
      <c r="P18">
        <f>O18+P15</f>
        <v>6496811.0</v>
      </c>
      <c r="Q18">
        <f>P18+Q15</f>
        <v>7097054.0</v>
      </c>
      <c r="R18">
        <f>Q18+R15</f>
        <v>7719074.0</v>
      </c>
      <c r="S18">
        <f>R18+S15</f>
        <v>8363704.0</v>
      </c>
      <c r="T18">
        <f>S18+T15</f>
        <v>9031794.0</v>
      </c>
      <c r="U18">
        <f>T18+U15</f>
        <v>9724110.0</v>
      </c>
      <c r="V18">
        <f>U18+V15</f>
        <v>10441455.0</v>
      </c>
      <c r="W18">
        <f>V18+W15</f>
        <v>11184719.0</v>
      </c>
      <c r="X18">
        <f>W18+X15</f>
        <v>11954704.0</v>
      </c>
      <c r="Y18">
        <f>X18+Y15</f>
        <v>12752328.0</v>
      </c>
      <c r="Z18">
        <f>Y18+Z15</f>
        <v>13578604.0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39055591.0</v>
      </c>
    </row>
    <row r="4">
      <c r="A4" t="inlineStr">
        <is>
          <t>Total EBITDA</t>
        </is>
      </c>
      <c r="B4">
        <f>'P&amp;L'!AA15</f>
        <v>12752328.0</v>
      </c>
    </row>
    <row r="5">
      <c r="A5" t="inlineStr">
        <is>
          <t>Exit run rate EBITDA</t>
        </is>
      </c>
      <c r="B5">
        <f>SUM('P&amp;L'!O15:Z15)</f>
        <v>8219807.0</v>
      </c>
    </row>
    <row r="6">
      <c r="A6" t="inlineStr">
        <is>
          <t>EBITDA multiple</t>
        </is>
      </c>
      <c r="B6">
        <f>Assumptions!$B$21</f>
        <v>13.8</v>
      </c>
    </row>
    <row r="7">
      <c r="A7" t="inlineStr">
        <is>
          <t>Enterprise value</t>
        </is>
      </c>
      <c r="B7">
        <f>ROUND(B5*B6,0)</f>
        <v>113433337.0</v>
      </c>
    </row>
    <row r="8">
      <c r="A8" t="inlineStr">
        <is>
          <t>Net debt</t>
        </is>
      </c>
      <c r="B8">
        <f>Assumptions!$B$22</f>
        <v>3200000.0</v>
      </c>
    </row>
    <row r="9">
      <c r="A9" t="inlineStr">
        <is>
          <t>Equity value</t>
        </is>
      </c>
      <c r="B9">
        <f>B7-B8</f>
        <v>110233337.0</v>
      </c>
    </row>
    <row r="11">
      <c r="A11" t="inlineStr">
        <is>
          <t>Average monthly EBITDA</t>
        </is>
      </c>
      <c r="B11">
        <f>AVERAGE('P&amp;L'!C15:Z15)</f>
        <v>565775.1666666666</v>
      </c>
    </row>
    <row r="12">
      <c r="A12" t="inlineStr">
        <is>
          <t>Best month</t>
        </is>
      </c>
      <c r="B12">
        <f>MAX('P&amp;L'!C15:Z15)</f>
        <v>826276.0</v>
      </c>
    </row>
    <row r="13">
      <c r="A13" t="inlineStr">
        <is>
          <t>Worst month</t>
        </is>
      </c>
      <c r="B13">
        <f>MIN('P&amp;L'!C15:Z15)</f>
        <v>364895.0</v>
      </c>
    </row>
    <row r="14">
      <c r="A14" t="inlineStr">
        <is>
          <t>Sum of positive months</t>
        </is>
      </c>
      <c r="B14">
        <f>SUMIF('P&amp;L'!C15:Z15,"&gt;0")</f>
        <v>13578604.0</v>
      </c>
    </row>
    <row r="15">
      <c r="A15" t="inlineStr">
        <is>
          <t>Best to worst swing</t>
        </is>
      </c>
      <c r="B15">
        <f>ABS(B12-B13)</f>
        <v>461381.0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