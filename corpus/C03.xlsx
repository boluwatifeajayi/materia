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Costs" sheetId="3" state="visible" r:id="rId3"/>
    <sheet name="P&amp;L" sheetId="4" state="visible" r:id="rId4"/>
    <sheet name="Valu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Assumptions</t>
        </is>
      </c>
    </row>
    <row r="3">
      <c r="A3" t="inlineStr">
        <is>
          <t>Revenue drivers</t>
        </is>
      </c>
    </row>
    <row r="4">
      <c r="A4" t="inlineStr">
        <is>
          <t>Opening customers</t>
        </is>
      </c>
      <c r="B4" t="n">
        <v>7200</v>
      </c>
    </row>
    <row r="5">
      <c r="A5" t="inlineStr">
        <is>
          <t>Monthly new customer rate</t>
        </is>
      </c>
      <c r="B5" t="n">
        <v>0.08409999999999999</v>
      </c>
    </row>
    <row r="6">
      <c r="A6" t="inlineStr">
        <is>
          <t>Monthly churn rate</t>
        </is>
      </c>
      <c r="B6" t="n">
        <v>0.0159</v>
      </c>
    </row>
    <row r="7">
      <c r="A7" t="inlineStr">
        <is>
          <t>Opening ARPU</t>
        </is>
      </c>
      <c r="B7" t="n">
        <v>119.08</v>
      </c>
    </row>
    <row r="8">
      <c r="A8" t="inlineStr">
        <is>
          <t>Monthly ARPU uplift</t>
        </is>
      </c>
      <c r="B8" t="n">
        <v>0.0074</v>
      </c>
    </row>
    <row r="10">
      <c r="A10" t="inlineStr">
        <is>
          <t>Cost drivers</t>
        </is>
      </c>
    </row>
    <row r="11">
      <c r="A11" t="inlineStr">
        <is>
          <t>COGS as share of revenue</t>
        </is>
      </c>
      <c r="B11" t="n">
        <v>0.2241</v>
      </c>
    </row>
    <row r="12">
      <c r="A12" t="inlineStr">
        <is>
          <t>Opening headcount</t>
        </is>
      </c>
      <c r="B12" t="n">
        <v>21</v>
      </c>
    </row>
    <row r="13">
      <c r="A13" t="inlineStr">
        <is>
          <t>New hires per month</t>
        </is>
      </c>
      <c r="B13" t="n">
        <v>3</v>
      </c>
    </row>
    <row r="14">
      <c r="A14" t="inlineStr">
        <is>
          <t>Average salary</t>
        </is>
      </c>
      <c r="B14" t="n">
        <v>84000</v>
      </c>
    </row>
    <row r="15">
      <c r="A15" t="inlineStr">
        <is>
          <t>Payroll tax rate</t>
        </is>
      </c>
      <c r="B15" t="n">
        <v>0.1339</v>
      </c>
    </row>
    <row r="16">
      <c r="A16" t="inlineStr">
        <is>
          <t>Marketing as share of revenue</t>
        </is>
      </c>
      <c r="B16" t="n">
        <v>0.1045</v>
      </c>
    </row>
    <row r="17">
      <c r="A17" t="inlineStr">
        <is>
          <t>Monthly overhead</t>
        </is>
      </c>
      <c r="B17" t="n">
        <v>45000</v>
      </c>
    </row>
    <row r="18">
      <c r="A18" t="inlineStr">
        <is>
          <t>Monthly overhead inflation</t>
        </is>
      </c>
      <c r="B18" t="n">
        <v>0.0025</v>
      </c>
    </row>
    <row r="20">
      <c r="A20" t="inlineStr">
        <is>
          <t>Valuation drivers</t>
        </is>
      </c>
    </row>
    <row r="21">
      <c r="A21" t="inlineStr">
        <is>
          <t>EBITDA multiple</t>
        </is>
      </c>
      <c r="B21" t="n">
        <v>12.4</v>
      </c>
    </row>
    <row r="22">
      <c r="A22" t="inlineStr">
        <is>
          <t>Net debt</t>
        </is>
      </c>
      <c r="B22" t="n">
        <v>4850000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build</t>
        </is>
      </c>
    </row>
    <row r="3">
      <c r="A3" t="inlineStr">
        <is>
          <t>Month</t>
        </is>
      </c>
      <c r="C3" t="n">
        <v>1</v>
      </c>
      <c r="D3">
        <f>C3+1</f>
        <v>2.0</v>
      </c>
      <c r="E3">
        <f>D3+1</f>
        <v>3.0</v>
      </c>
      <c r="F3">
        <f>E3+1</f>
        <v>4.0</v>
      </c>
      <c r="G3">
        <f>F3+1</f>
        <v>5.0</v>
      </c>
      <c r="H3">
        <f>G3+1</f>
        <v>6.0</v>
      </c>
      <c r="I3">
        <f>H3+1</f>
        <v>7.0</v>
      </c>
      <c r="J3">
        <f>I3+1</f>
        <v>8.0</v>
      </c>
      <c r="K3">
        <f>J3+1</f>
        <v>9.0</v>
      </c>
      <c r="L3">
        <f>K3+1</f>
        <v>10.0</v>
      </c>
      <c r="M3">
        <f>L3+1</f>
        <v>11.0</v>
      </c>
      <c r="N3">
        <f>M3+1</f>
        <v>12.0</v>
      </c>
      <c r="O3">
        <f>N3+1</f>
        <v>13.0</v>
      </c>
      <c r="P3">
        <f>O3+1</f>
        <v>14.0</v>
      </c>
      <c r="Q3">
        <f>P3+1</f>
        <v>15.0</v>
      </c>
      <c r="R3">
        <f>Q3+1</f>
        <v>16.0</v>
      </c>
      <c r="S3">
        <f>R3+1</f>
        <v>17.0</v>
      </c>
      <c r="T3">
        <f>S3+1</f>
        <v>18.0</v>
      </c>
      <c r="U3">
        <f>T3+1</f>
        <v>19.0</v>
      </c>
      <c r="V3">
        <f>U3+1</f>
        <v>20.0</v>
      </c>
      <c r="W3">
        <f>V3+1</f>
        <v>21.0</v>
      </c>
      <c r="X3">
        <f>W3+1</f>
        <v>22.0</v>
      </c>
      <c r="Y3">
        <f>X3+1</f>
        <v>23.0</v>
      </c>
      <c r="Z3">
        <f>Y3+1</f>
        <v>24.0</v>
      </c>
    </row>
    <row r="5">
      <c r="A5" t="inlineStr">
        <is>
          <t>Opening customers</t>
        </is>
      </c>
      <c r="C5">
        <f>Assumptions!$B$4</f>
        <v>7200.0</v>
      </c>
      <c r="D5">
        <f>C9</f>
        <v>7692.0</v>
      </c>
      <c r="E5">
        <f>D9</f>
        <v>8217.0</v>
      </c>
      <c r="F5">
        <f>E9</f>
        <v>8777.0</v>
      </c>
      <c r="G5">
        <f>F9</f>
        <v>9375.0</v>
      </c>
      <c r="H5">
        <f>G9</f>
        <v>10014.0</v>
      </c>
      <c r="I5">
        <f>H9</f>
        <v>10697.0</v>
      </c>
      <c r="J5">
        <f>I9</f>
        <v>11427.0</v>
      </c>
      <c r="K5">
        <f>J9</f>
        <v>12206.0</v>
      </c>
      <c r="L5">
        <f>K9</f>
        <v>13039.0</v>
      </c>
      <c r="M5">
        <f>L9</f>
        <v>13929.0</v>
      </c>
      <c r="N5">
        <f>M9</f>
        <v>14879.0</v>
      </c>
      <c r="O5">
        <f>N9</f>
        <v>15893.0</v>
      </c>
      <c r="P5">
        <f>O9</f>
        <v>16977.0</v>
      </c>
      <c r="Q5">
        <f>P9</f>
        <v>18135.0</v>
      </c>
      <c r="R5">
        <f>Q9</f>
        <v>19372.0</v>
      </c>
      <c r="S5">
        <f>R9</f>
        <v>20693.0</v>
      </c>
      <c r="T5">
        <f>S9</f>
        <v>22104.0</v>
      </c>
      <c r="U5">
        <f>T9</f>
        <v>23612.0</v>
      </c>
      <c r="V5">
        <f>U9</f>
        <v>25223.0</v>
      </c>
      <c r="W5">
        <f>V9</f>
        <v>26943.0</v>
      </c>
      <c r="X5">
        <f>W9</f>
        <v>28781.0</v>
      </c>
      <c r="Y5">
        <f>X9</f>
        <v>30743.0</v>
      </c>
      <c r="Z5">
        <f>Y9</f>
        <v>32839.0</v>
      </c>
    </row>
    <row r="6">
      <c r="A6" t="inlineStr">
        <is>
          <t>New customers</t>
        </is>
      </c>
      <c r="C6">
        <f>ROUND(C5*Assumptions!$B$5,0)</f>
        <v>606.0</v>
      </c>
      <c r="D6">
        <f>ROUND(D5*Assumptions!$B$5,0)</f>
        <v>647.0</v>
      </c>
      <c r="E6">
        <f>ROUND(E5*Assumptions!$B$5,0)</f>
        <v>691.0</v>
      </c>
      <c r="F6">
        <f>ROUND(F5*Assumptions!$B$5,0)</f>
        <v>738.0</v>
      </c>
      <c r="G6">
        <f>ROUND(G5*Assumptions!$B$5,0)</f>
        <v>788.0</v>
      </c>
      <c r="H6">
        <f>ROUND(H5*Assumptions!$B$5,0)</f>
        <v>842.0</v>
      </c>
      <c r="I6">
        <f>ROUND(I5*Assumptions!$B$5,0)</f>
        <v>900.0</v>
      </c>
      <c r="J6">
        <f>ROUND(J5*Assumptions!$B$5,0)</f>
        <v>961.0</v>
      </c>
      <c r="K6">
        <f>ROUND(K5*Assumptions!$B$5,0)</f>
        <v>1027.0</v>
      </c>
      <c r="L6">
        <f>ROUND(L5*Assumptions!$B$5,0)</f>
        <v>1097.0</v>
      </c>
      <c r="M6">
        <f>ROUND(M5*Assumptions!$B$5,0)</f>
        <v>1171.0</v>
      </c>
      <c r="N6">
        <f>ROUND(N5*Assumptions!$B$5,0)</f>
        <v>1251.0</v>
      </c>
      <c r="O6">
        <f>ROUND(O5*Assumptions!$B$5,0)</f>
        <v>1337.0</v>
      </c>
      <c r="P6">
        <f>ROUND(P5*Assumptions!$B$5,0)</f>
        <v>1428.0</v>
      </c>
      <c r="Q6">
        <f>ROUND(Q5*Assumptions!$B$5,0)</f>
        <v>1525.0</v>
      </c>
      <c r="R6">
        <f>ROUND(R5*Assumptions!$B$5,0)</f>
        <v>1629.0</v>
      </c>
      <c r="S6">
        <f>ROUND(S5*Assumptions!$B$5,0)</f>
        <v>1740.0</v>
      </c>
      <c r="T6">
        <f>ROUND(T5*Assumptions!$B$5,0)</f>
        <v>1859.0</v>
      </c>
      <c r="U6">
        <f>ROUND(U5*Assumptions!$B$5,0)</f>
        <v>1986.0</v>
      </c>
      <c r="V6">
        <f>ROUND(V5*Assumptions!$B$5,0)</f>
        <v>2121.0</v>
      </c>
      <c r="W6">
        <f>ROUND(W5*Assumptions!$B$5,0)</f>
        <v>2266.0</v>
      </c>
      <c r="X6">
        <f>ROUND(X5*Assumptions!$B$5,0)</f>
        <v>2420.0</v>
      </c>
      <c r="Y6">
        <f>ROUND(Y5*Assumptions!$B$5,0)</f>
        <v>2585.0</v>
      </c>
      <c r="Z6">
        <f>ROUND(Z5*Assumptions!$B$5,0)</f>
        <v>2762.0</v>
      </c>
    </row>
    <row r="7">
      <c r="A7" t="inlineStr">
        <is>
          <t>Churned customers</t>
        </is>
      </c>
      <c r="C7">
        <f>-ROUND(C5*Assumptions!$B$6,0)</f>
        <v>-114.0</v>
      </c>
      <c r="D7">
        <f>-ROUND(D5*Assumptions!$B$6,0)</f>
        <v>-122.0</v>
      </c>
      <c r="E7">
        <f>-ROUND(E5*Assumptions!$B$6,0)</f>
        <v>-131.0</v>
      </c>
      <c r="F7">
        <f>-ROUND(F5*Assumptions!$B$6,0)</f>
        <v>-140.0</v>
      </c>
      <c r="G7">
        <f>-ROUND(G5*Assumptions!$B$6,0)</f>
        <v>-149.0</v>
      </c>
      <c r="H7">
        <f>-ROUND(H5*Assumptions!$B$6,0)</f>
        <v>-159.0</v>
      </c>
      <c r="I7">
        <f>-ROUND(I5*Assumptions!$B$6,0)</f>
        <v>-170.0</v>
      </c>
      <c r="J7">
        <f>-ROUND(J5*Assumptions!$B$6,0)</f>
        <v>-182.0</v>
      </c>
      <c r="K7">
        <f>-ROUND(K5*Assumptions!$B$6,0)</f>
        <v>-194.0</v>
      </c>
      <c r="L7">
        <f>-ROUND(L5*Assumptions!$B$6,0)</f>
        <v>-207.0</v>
      </c>
      <c r="M7">
        <f>-ROUND(M5*Assumptions!$B$6,0)</f>
        <v>-221.0</v>
      </c>
      <c r="N7">
        <f>-ROUND(N5*Assumptions!$B$6,0)</f>
        <v>-237.0</v>
      </c>
      <c r="O7">
        <f>-ROUND(O5*Assumptions!$B$6,0)</f>
        <v>-253.0</v>
      </c>
      <c r="P7">
        <f>-ROUND(P5*Assumptions!$B$6,0)</f>
        <v>-270.0</v>
      </c>
      <c r="Q7">
        <f>-ROUND(Q5*Assumptions!$B$6,0)</f>
        <v>-288.0</v>
      </c>
      <c r="R7">
        <f>-ROUND(R5*Assumptions!$B$6,0)</f>
        <v>-308.0</v>
      </c>
      <c r="S7">
        <f>-ROUND(S5*Assumptions!$B$6,0)</f>
        <v>-329.0</v>
      </c>
      <c r="T7">
        <f>-ROUND(T5*Assumptions!$B$6,0)</f>
        <v>-351.0</v>
      </c>
      <c r="U7">
        <f>-ROUND(U5*Assumptions!$B$6,0)</f>
        <v>-375.0</v>
      </c>
      <c r="V7">
        <f>-ROUND(V5*Assumptions!$B$6,0)</f>
        <v>-401.0</v>
      </c>
      <c r="W7">
        <f>-ROUND(W5*Assumptions!$B$6,0)</f>
        <v>-428.0</v>
      </c>
      <c r="X7">
        <f>-ROUND(X5*Assumptions!$B$6,0)</f>
        <v>-458.0</v>
      </c>
      <c r="Y7">
        <f>-ROUND(Y5*Assumptions!$B$6,0)</f>
        <v>-489.0</v>
      </c>
      <c r="Z7">
        <f>-ROUND(Z5*Assumptions!$B$6,0)</f>
        <v>-522.0</v>
      </c>
    </row>
    <row r="9">
      <c r="A9" t="inlineStr">
        <is>
          <t>Closing customers</t>
        </is>
      </c>
      <c r="C9">
        <f>C5+C6+C7</f>
        <v>7692.0</v>
      </c>
      <c r="D9">
        <f>D5+D6+D7</f>
        <v>8217.0</v>
      </c>
      <c r="E9">
        <f>E5+E6+E7</f>
        <v>8777.0</v>
      </c>
      <c r="F9">
        <f>F5+F6+F7</f>
        <v>9375.0</v>
      </c>
      <c r="G9">
        <f>G5+G6+G7</f>
        <v>10014.0</v>
      </c>
      <c r="H9">
        <f>H5+H6+H7</f>
        <v>10697.0</v>
      </c>
      <c r="I9">
        <f>I5+I6+I7</f>
        <v>11427.0</v>
      </c>
      <c r="J9">
        <f>J5+J6+J7</f>
        <v>12206.0</v>
      </c>
      <c r="K9">
        <f>K5+K6+K7</f>
        <v>13039.0</v>
      </c>
      <c r="L9">
        <f>L5+L6+L7</f>
        <v>13929.0</v>
      </c>
      <c r="M9">
        <f>M5+M6+M7</f>
        <v>14879.0</v>
      </c>
      <c r="N9">
        <f>N5+N6+N7</f>
        <v>15893.0</v>
      </c>
      <c r="O9">
        <f>O5+O6+O7</f>
        <v>16977.0</v>
      </c>
      <c r="P9">
        <f>P5+P6+P7</f>
        <v>18135.0</v>
      </c>
      <c r="Q9">
        <f>Q5+Q6+Q7</f>
        <v>19372.0</v>
      </c>
      <c r="R9">
        <f>R5+R6+R7</f>
        <v>20693.0</v>
      </c>
      <c r="S9">
        <f>S5+S6+S7</f>
        <v>22104.0</v>
      </c>
      <c r="T9">
        <f>T5+T6+T7</f>
        <v>23612.0</v>
      </c>
      <c r="U9">
        <f>U5+U6+U7</f>
        <v>25223.0</v>
      </c>
      <c r="V9">
        <f>V5+V6+V7</f>
        <v>26943.0</v>
      </c>
      <c r="W9">
        <f>W5+W6+W7</f>
        <v>28781.0</v>
      </c>
      <c r="X9">
        <f>X5+X6+X7</f>
        <v>30743.0</v>
      </c>
      <c r="Y9">
        <f>Y5+Y6+Y7</f>
        <v>32839.0</v>
      </c>
      <c r="Z9">
        <f>Z5+Z6+Z7</f>
        <v>35079.0</v>
      </c>
    </row>
    <row r="11">
      <c r="A11" t="inlineStr">
        <is>
          <t>ARPU</t>
        </is>
      </c>
      <c r="C11">
        <f>Assumptions!$B$7</f>
        <v>119.08</v>
      </c>
      <c r="D11">
        <f>ROUND(C11*(1+Assumptions!$B$8),2)</f>
        <v>119.96</v>
      </c>
      <c r="E11">
        <f>ROUND(D11*(1+Assumptions!$B$8),2)</f>
        <v>120.85</v>
      </c>
      <c r="F11">
        <f>ROUND(E11*(1+Assumptions!$B$8),2)</f>
        <v>121.74</v>
      </c>
      <c r="G11">
        <f>ROUND(F11*(1+Assumptions!$B$8),2)</f>
        <v>122.64</v>
      </c>
      <c r="H11">
        <f>ROUND(G11*(1+Assumptions!$B$8),2)</f>
        <v>123.55</v>
      </c>
      <c r="I11">
        <f>ROUND(H11*(1+Assumptions!$B$8),2)</f>
        <v>124.46</v>
      </c>
      <c r="J11">
        <f>ROUND(I11*(1+Assumptions!$B$8),2)</f>
        <v>125.38</v>
      </c>
      <c r="K11">
        <f>ROUND(J11*(1+Assumptions!$B$8),2)</f>
        <v>126.31</v>
      </c>
      <c r="L11">
        <f>ROUND(K11*(1+Assumptions!$B$8),2)</f>
        <v>127.24</v>
      </c>
      <c r="M11">
        <f>ROUND(L11*(1+Assumptions!$B$8),2)</f>
        <v>128.18</v>
      </c>
      <c r="N11">
        <f>ROUND(M11*(1+Assumptions!$B$8),2)</f>
        <v>129.13</v>
      </c>
      <c r="O11">
        <f>ROUND(N11*(1+Assumptions!$B$8),2)</f>
        <v>130.09</v>
      </c>
      <c r="P11">
        <f>ROUND(O11*(1+Assumptions!$B$8),2)</f>
        <v>131.05</v>
      </c>
      <c r="Q11">
        <f>ROUND(P11*(1+Assumptions!$B$8),2)</f>
        <v>132.02</v>
      </c>
      <c r="R11">
        <f>ROUND(Q11*(1+Assumptions!$B$8),2)</f>
        <v>133.0</v>
      </c>
      <c r="S11">
        <f>ROUND(R11*(1+Assumptions!$B$8),2)</f>
        <v>133.98</v>
      </c>
      <c r="T11">
        <f>ROUND(S11*(1+Assumptions!$B$8),2)</f>
        <v>134.97</v>
      </c>
      <c r="U11">
        <f>ROUND(T11*(1+Assumptions!$B$8),2)</f>
        <v>135.97</v>
      </c>
      <c r="V11">
        <f>ROUND(U11*(1+Assumptions!$B$8),2)</f>
        <v>136.98</v>
      </c>
      <c r="W11">
        <f>ROUND(V11*(1+Assumptions!$B$8),2)</f>
        <v>137.99</v>
      </c>
      <c r="X11">
        <f>ROUND(W11*(1+Assumptions!$B$8),2)</f>
        <v>139.01</v>
      </c>
      <c r="Y11">
        <f>ROUND(X11*(1+Assumptions!$B$8),2)</f>
        <v>140.04</v>
      </c>
      <c r="Z11">
        <f>ROUND(Y11*(1+Assumptions!$B$8),2)</f>
        <v>141.08</v>
      </c>
    </row>
    <row r="13">
      <c r="A13" t="inlineStr">
        <is>
          <t>Average customers</t>
        </is>
      </c>
      <c r="C13">
        <f>ROUND((C5+C9)/2,0)</f>
        <v>7446.0</v>
      </c>
      <c r="D13">
        <f>ROUND((D5+D9)/2,0)</f>
        <v>7955.0</v>
      </c>
      <c r="E13">
        <f>ROUND((E5+E9)/2,0)</f>
        <v>8497.0</v>
      </c>
      <c r="F13">
        <f>ROUND((F5+F9)/2,0)</f>
        <v>9076.0</v>
      </c>
      <c r="G13">
        <f>ROUND((G5+G9)/2,0)</f>
        <v>9695.0</v>
      </c>
      <c r="H13">
        <f>ROUND((H5+H9)/2,0)</f>
        <v>10356.0</v>
      </c>
      <c r="I13">
        <f>ROUND((I5+I9)/2,0)</f>
        <v>11062.0</v>
      </c>
      <c r="J13">
        <f>ROUND((J5+J9)/2,0)</f>
        <v>11817.0</v>
      </c>
      <c r="K13">
        <f>ROUND((K5+K9)/2,0)</f>
        <v>12623.0</v>
      </c>
      <c r="L13">
        <f>ROUND((L5+L9)/2,0)</f>
        <v>13484.0</v>
      </c>
      <c r="M13">
        <f>ROUND((M5+M9)/2,0)</f>
        <v>14404.0</v>
      </c>
      <c r="N13">
        <f>ROUND((N5+N9)/2,0)</f>
        <v>15386.0</v>
      </c>
      <c r="O13">
        <f>ROUND((O5+O9)/2,0)</f>
        <v>16435.0</v>
      </c>
      <c r="P13">
        <f>ROUND((P5+P9)/2,0)</f>
        <v>17556.0</v>
      </c>
      <c r="Q13">
        <f>ROUND((Q5+Q9)/2,0)</f>
        <v>18754.0</v>
      </c>
      <c r="R13">
        <f>ROUND((R5+R9)/2,0)</f>
        <v>20033.0</v>
      </c>
      <c r="S13">
        <f>ROUND((S5+S9)/2,0)</f>
        <v>21399.0</v>
      </c>
      <c r="T13">
        <f>ROUND((T5+T9)/2,0)</f>
        <v>22858.0</v>
      </c>
      <c r="U13">
        <f>ROUND((U5+U9)/2,0)</f>
        <v>24418.0</v>
      </c>
      <c r="V13">
        <f>ROUND((V5+V9)/2,0)</f>
        <v>26083.0</v>
      </c>
      <c r="W13">
        <f>ROUND((W5+W9)/2,0)</f>
        <v>27862.0</v>
      </c>
      <c r="X13">
        <f>ROUND((X5+X9)/2,0)</f>
        <v>29762.0</v>
      </c>
      <c r="Y13">
        <f>ROUND((Y5+Y9)/2,0)</f>
        <v>31791.0</v>
      </c>
      <c r="Z13">
        <f>ROUND((Z5+Z9)/2,0)</f>
        <v>33959.0</v>
      </c>
    </row>
    <row r="15">
      <c r="A15" t="inlineStr">
        <is>
          <t>Revenue</t>
        </is>
      </c>
      <c r="C15">
        <f>ROUND(C13*C11,0)</f>
        <v>886670.0</v>
      </c>
      <c r="D15">
        <f>ROUND(D13*D11,0)</f>
        <v>954282.0</v>
      </c>
      <c r="E15">
        <f>ROUND(E13*E11,0)</f>
        <v>1026862.0</v>
      </c>
      <c r="F15">
        <f>ROUND(F13*F11,0)</f>
        <v>1104912.0</v>
      </c>
      <c r="G15">
        <f>ROUND(G13*G11,0)</f>
        <v>1188995.0</v>
      </c>
      <c r="H15">
        <f>ROUND(H13*H11,0)</f>
        <v>1279484.0</v>
      </c>
      <c r="I15">
        <f>ROUND(I13*I11,0)</f>
        <v>1376777.0</v>
      </c>
      <c r="J15">
        <f>ROUND(J13*J11,0)</f>
        <v>1481615.0</v>
      </c>
      <c r="K15">
        <f>ROUND(K13*K11,0)</f>
        <v>1594411.0</v>
      </c>
      <c r="L15">
        <f>ROUND(L13*L11,0)</f>
        <v>1715704.0</v>
      </c>
      <c r="M15">
        <f>ROUND(M13*M11,0)</f>
        <v>1846305.0</v>
      </c>
      <c r="N15">
        <f>ROUND(N13*N11,0)</f>
        <v>1986794.0</v>
      </c>
      <c r="O15">
        <f>ROUND(O13*O11,0)</f>
        <v>2138029.0</v>
      </c>
      <c r="P15">
        <f>ROUND(P13*P11,0)</f>
        <v>2300714.0</v>
      </c>
      <c r="Q15">
        <f>ROUND(Q13*Q11,0)</f>
        <v>2475903.0</v>
      </c>
      <c r="R15">
        <f>ROUND(R13*R11,0)</f>
        <v>2664389.0</v>
      </c>
      <c r="S15">
        <f>ROUND(S13*S11,0)</f>
        <v>2867038.0</v>
      </c>
      <c r="T15">
        <f>ROUND(T13*T11,0)</f>
        <v>3085144.0</v>
      </c>
      <c r="U15">
        <f>ROUND(U13*U11,0)</f>
        <v>3320115.0</v>
      </c>
      <c r="V15">
        <f>ROUND(V13*V11,0)</f>
        <v>3572849.0</v>
      </c>
      <c r="W15">
        <f>ROUND(W13*W11,0)</f>
        <v>3844677.0</v>
      </c>
      <c r="X15">
        <f>ROUND(X13*X11,0)</f>
        <v>4137216.0</v>
      </c>
      <c r="Y15">
        <f>ROUND(Y13*Y11,0)</f>
        <v>4452012.0</v>
      </c>
      <c r="Z15">
        <f>ROUND(Z13*Z11,0)</f>
        <v>4790936.0</v>
      </c>
    </row>
    <row r="17">
      <c r="A17" t="inlineStr">
        <is>
          <t>Cumulative revenue</t>
        </is>
      </c>
      <c r="C17">
        <f>C15</f>
        <v>886670.0</v>
      </c>
      <c r="D17">
        <f>C17+D15</f>
        <v>1840952.0</v>
      </c>
      <c r="E17">
        <f>D17+E15</f>
        <v>2867814.0</v>
      </c>
      <c r="F17">
        <f>E17+F15</f>
        <v>3972726.0</v>
      </c>
      <c r="G17">
        <f>F17+G15</f>
        <v>5161721.0</v>
      </c>
      <c r="H17">
        <f>G17+H15</f>
        <v>6441205.0</v>
      </c>
      <c r="I17">
        <f>H17+I15</f>
        <v>7817982.0</v>
      </c>
      <c r="J17">
        <f>I17+J15</f>
        <v>9299597.0</v>
      </c>
      <c r="K17">
        <f>J17+K15</f>
        <v>10894008.0</v>
      </c>
      <c r="L17">
        <f>K17+L15</f>
        <v>12609712.0</v>
      </c>
      <c r="M17">
        <f>L17+M15</f>
        <v>14456017.0</v>
      </c>
      <c r="N17">
        <f>M17+N15</f>
        <v>16442811.0</v>
      </c>
      <c r="O17">
        <f>N17+O15</f>
        <v>18580840.0</v>
      </c>
      <c r="P17">
        <f>O17+P15</f>
        <v>20881554.0</v>
      </c>
      <c r="Q17">
        <f>P17+Q15</f>
        <v>23357457.0</v>
      </c>
      <c r="R17">
        <f>Q17+R15</f>
        <v>26021846.0</v>
      </c>
      <c r="S17">
        <f>R17+S15</f>
        <v>28888884.0</v>
      </c>
      <c r="T17">
        <f>S17+T15</f>
        <v>31974028.0</v>
      </c>
      <c r="U17">
        <f>T17+U15</f>
        <v>35294143.0</v>
      </c>
      <c r="V17">
        <f>U17+V15</f>
        <v>38866992.0</v>
      </c>
      <c r="W17">
        <f>V17+W15</f>
        <v>42711669.0</v>
      </c>
      <c r="X17">
        <f>W17+X15</f>
        <v>46848885.0</v>
      </c>
      <c r="Y17">
        <f>X17+Y15</f>
        <v>51300897.0</v>
      </c>
      <c r="Z17">
        <f>Y17+Z15</f>
        <v>56091833.0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build</t>
        </is>
      </c>
    </row>
    <row r="3">
      <c r="A3" t="inlineStr">
        <is>
          <t>Month</t>
        </is>
      </c>
      <c r="C3">
        <f>Revenue!C3</f>
        <v>1.0</v>
      </c>
      <c r="D3">
        <f>Revenue!D3</f>
        <v>2.0</v>
      </c>
      <c r="E3">
        <f>Revenue!E3</f>
        <v>3.0</v>
      </c>
      <c r="F3">
        <f>Revenue!F3</f>
        <v>4.0</v>
      </c>
      <c r="G3">
        <f>Revenue!G3</f>
        <v>5.0</v>
      </c>
      <c r="H3">
        <f>Revenue!H3</f>
        <v>6.0</v>
      </c>
      <c r="I3">
        <f>Revenue!I3</f>
        <v>7.0</v>
      </c>
      <c r="J3">
        <f>Revenue!J3</f>
        <v>8.0</v>
      </c>
      <c r="K3">
        <f>Revenue!K3</f>
        <v>9.0</v>
      </c>
      <c r="L3">
        <f>Revenue!L3</f>
        <v>10.0</v>
      </c>
      <c r="M3">
        <f>Revenue!M3</f>
        <v>11.0</v>
      </c>
      <c r="N3">
        <f>Revenue!N3</f>
        <v>12.0</v>
      </c>
      <c r="O3">
        <f>Revenue!O3</f>
        <v>13.0</v>
      </c>
      <c r="P3">
        <f>Revenue!P3</f>
        <v>14.0</v>
      </c>
      <c r="Q3">
        <f>Revenue!Q3</f>
        <v>15.0</v>
      </c>
      <c r="R3">
        <f>Revenue!R3</f>
        <v>16.0</v>
      </c>
      <c r="S3">
        <f>Revenue!S3</f>
        <v>17.0</v>
      </c>
      <c r="T3">
        <f>Revenue!T3</f>
        <v>18.0</v>
      </c>
      <c r="U3">
        <f>Revenue!U3</f>
        <v>19.0</v>
      </c>
      <c r="V3">
        <f>Revenue!V3</f>
        <v>20.0</v>
      </c>
      <c r="W3">
        <f>Revenue!W3</f>
        <v>21.0</v>
      </c>
      <c r="X3">
        <f>Revenue!X3</f>
        <v>22.0</v>
      </c>
      <c r="Y3">
        <f>Revenue!Y3</f>
        <v>23.0</v>
      </c>
      <c r="Z3">
        <f>Revenue!Z3</f>
        <v>24.0</v>
      </c>
    </row>
    <row r="5">
      <c r="A5" t="inlineStr">
        <is>
          <t>Headcount</t>
        </is>
      </c>
      <c r="C5">
        <f>Assumptions!$B$12</f>
        <v>21.0</v>
      </c>
      <c r="D5">
        <f>C5+Assumptions!$B$13</f>
        <v>24.0</v>
      </c>
      <c r="E5">
        <f>D5+Assumptions!$B$13</f>
        <v>27.0</v>
      </c>
      <c r="F5">
        <f>E5+Assumptions!$B$13</f>
        <v>30.0</v>
      </c>
      <c r="G5">
        <f>F5+Assumptions!$B$13</f>
        <v>33.0</v>
      </c>
      <c r="H5">
        <f>G5+Assumptions!$B$13</f>
        <v>36.0</v>
      </c>
      <c r="I5">
        <f>H5+Assumptions!$B$13</f>
        <v>39.0</v>
      </c>
      <c r="J5">
        <f>I5+Assumptions!$B$13</f>
        <v>42.0</v>
      </c>
      <c r="K5">
        <f>J5+Assumptions!$B$13</f>
        <v>45.0</v>
      </c>
      <c r="L5">
        <f>K5+Assumptions!$B$13</f>
        <v>48.0</v>
      </c>
      <c r="M5">
        <f>L5+Assumptions!$B$13</f>
        <v>51.0</v>
      </c>
      <c r="N5">
        <f>M5+Assumptions!$B$13</f>
        <v>54.0</v>
      </c>
      <c r="O5">
        <f>N5+Assumptions!$B$13</f>
        <v>57.0</v>
      </c>
      <c r="P5">
        <f>O5+Assumptions!$B$13</f>
        <v>60.0</v>
      </c>
      <c r="Q5">
        <f>P5+Assumptions!$B$13</f>
        <v>63.0</v>
      </c>
      <c r="R5">
        <f>Q5+Assumptions!$B$13</f>
        <v>66.0</v>
      </c>
      <c r="S5">
        <f>R5+Assumptions!$B$13</f>
        <v>69.0</v>
      </c>
      <c r="T5">
        <f>S5+Assumptions!$B$13</f>
        <v>72.0</v>
      </c>
      <c r="U5">
        <f>T5+Assumptions!$B$13</f>
        <v>75.0</v>
      </c>
      <c r="V5">
        <f>U5+Assumptions!$B$13</f>
        <v>78.0</v>
      </c>
      <c r="W5">
        <f>V5+Assumptions!$B$13</f>
        <v>81.0</v>
      </c>
      <c r="X5">
        <f>W5+Assumptions!$B$13</f>
        <v>84.0</v>
      </c>
      <c r="Y5">
        <f>X5+Assumptions!$B$13</f>
        <v>87.0</v>
      </c>
      <c r="Z5">
        <f>Y5+Assumptions!$B$13</f>
        <v>90.0</v>
      </c>
    </row>
    <row r="6">
      <c r="A6" t="inlineStr">
        <is>
          <t>Salary cost</t>
        </is>
      </c>
      <c r="C6">
        <f>ROUND(C5*Assumptions!$B$14/12,0)</f>
        <v>147000.0</v>
      </c>
      <c r="D6">
        <f>ROUND(D5*Assumptions!$B$14/12,0)</f>
        <v>168000.0</v>
      </c>
      <c r="E6">
        <f>ROUND(E5*Assumptions!$B$14/12,0)</f>
        <v>189000.0</v>
      </c>
      <c r="F6">
        <f>ROUND(F5*Assumptions!$B$14/12,0)</f>
        <v>210000.0</v>
      </c>
      <c r="G6">
        <f>ROUND(G5*Assumptions!$B$14/12,0)</f>
        <v>231000.0</v>
      </c>
      <c r="H6">
        <f>ROUND(H5*Assumptions!$B$14/12,0)</f>
        <v>252000.0</v>
      </c>
      <c r="I6">
        <f>ROUND(I5*Assumptions!$B$14/12,0)</f>
        <v>273000.0</v>
      </c>
      <c r="J6">
        <f>ROUND(J5*Assumptions!$B$14/12,0)</f>
        <v>294000.0</v>
      </c>
      <c r="K6">
        <f>ROUND(K5*Assumptions!$B$14/12,0)</f>
        <v>315000.0</v>
      </c>
      <c r="L6">
        <f>ROUND(L5*Assumptions!$B$14/12,0)</f>
        <v>336000.0</v>
      </c>
      <c r="M6">
        <f>ROUND(M5*Assumptions!$B$14/12,0)</f>
        <v>357000.0</v>
      </c>
      <c r="N6">
        <f>ROUND(N5*Assumptions!$B$14/12,0)</f>
        <v>378000.0</v>
      </c>
      <c r="O6">
        <f>ROUND(O5*Assumptions!$B$14/12,0)</f>
        <v>399000.0</v>
      </c>
      <c r="P6">
        <f>ROUND(P5*Assumptions!$B$14/12,0)</f>
        <v>420000.0</v>
      </c>
      <c r="Q6">
        <f>ROUND(Q5*Assumptions!$B$14/12,0)</f>
        <v>441000.0</v>
      </c>
      <c r="R6">
        <f>ROUND(R5*Assumptions!$B$14/12,0)</f>
        <v>462000.0</v>
      </c>
      <c r="S6">
        <f>ROUND(S5*Assumptions!$B$14/12,0)</f>
        <v>483000.0</v>
      </c>
      <c r="T6">
        <f>ROUND(T5*Assumptions!$B$14/12,0)</f>
        <v>504000.0</v>
      </c>
      <c r="U6">
        <f>ROUND(U5*Assumptions!$B$14/12,0)</f>
        <v>525000.0</v>
      </c>
      <c r="V6">
        <f>ROUND(V5*Assumptions!$B$14/12,0)</f>
        <v>546000.0</v>
      </c>
      <c r="W6">
        <f>ROUND(W5*Assumptions!$B$14/12,0)</f>
        <v>567000.0</v>
      </c>
      <c r="X6">
        <f>ROUND(X5*Assumptions!$B$14/12,0)</f>
        <v>588000.0</v>
      </c>
      <c r="Y6">
        <f>ROUND(Y5*Assumptions!$B$14/12,0)</f>
        <v>609000.0</v>
      </c>
      <c r="Z6">
        <f>ROUND(Z5*Assumptions!$B$14/12,0)</f>
        <v>630000.0</v>
      </c>
    </row>
    <row r="7">
      <c r="A7" t="inlineStr">
        <is>
          <t>Payroll tax</t>
        </is>
      </c>
      <c r="C7">
        <f>ROUND(C6*Assumptions!$B$15,0)</f>
        <v>19683.0</v>
      </c>
      <c r="D7">
        <f>ROUND(D6*Assumptions!$B$15,0)</f>
        <v>22495.0</v>
      </c>
      <c r="E7">
        <f>ROUND(E6*Assumptions!$B$15,0)</f>
        <v>25307.0</v>
      </c>
      <c r="F7">
        <f>ROUND(F6*Assumptions!$B$15,0)</f>
        <v>28119.0</v>
      </c>
      <c r="G7">
        <f>ROUND(G6*Assumptions!$B$15,0)</f>
        <v>30931.0</v>
      </c>
      <c r="H7">
        <f>ROUND(H6*Assumptions!$B$15,0)</f>
        <v>33743.0</v>
      </c>
      <c r="I7">
        <f>ROUND(I6*Assumptions!$B$15,0)</f>
        <v>36555.0</v>
      </c>
      <c r="J7">
        <f>ROUND(J6*Assumptions!$B$15,0)</f>
        <v>39367.0</v>
      </c>
      <c r="K7">
        <f>ROUND(K6*Assumptions!$B$15,0)</f>
        <v>42179.0</v>
      </c>
      <c r="L7">
        <f>ROUND(L6*Assumptions!$B$15,0)</f>
        <v>44990.0</v>
      </c>
      <c r="M7">
        <f>ROUND(M6*Assumptions!$B$15,0)</f>
        <v>47802.0</v>
      </c>
      <c r="N7">
        <f>ROUND(N6*Assumptions!$B$15,0)</f>
        <v>50614.0</v>
      </c>
      <c r="O7">
        <f>ROUND(O6*Assumptions!$B$15,0)</f>
        <v>53426.0</v>
      </c>
      <c r="P7">
        <f>ROUND(P6*Assumptions!$B$15,0)</f>
        <v>56238.0</v>
      </c>
      <c r="Q7">
        <f>ROUND(Q6*Assumptions!$B$15,0)</f>
        <v>59050.0</v>
      </c>
      <c r="R7">
        <f>ROUND(R6*Assumptions!$B$15,0)</f>
        <v>61862.0</v>
      </c>
      <c r="S7">
        <f>ROUND(S6*Assumptions!$B$15,0)</f>
        <v>64674.0</v>
      </c>
      <c r="T7">
        <f>ROUND(T6*Assumptions!$B$15,0)</f>
        <v>67486.0</v>
      </c>
      <c r="U7">
        <f>ROUND(U6*Assumptions!$B$15,0)</f>
        <v>70298.0</v>
      </c>
      <c r="V7">
        <f>ROUND(V6*Assumptions!$B$15,0)</f>
        <v>73109.0</v>
      </c>
      <c r="W7">
        <f>ROUND(W6*Assumptions!$B$15,0)</f>
        <v>75921.0</v>
      </c>
      <c r="X7">
        <f>ROUND(X6*Assumptions!$B$15,0)</f>
        <v>78733.0</v>
      </c>
      <c r="Y7">
        <f>ROUND(Y6*Assumptions!$B$15,0)</f>
        <v>81545.0</v>
      </c>
      <c r="Z7">
        <f>ROUND(Z6*Assumptions!$B$15,0)</f>
        <v>84357.0</v>
      </c>
    </row>
    <row r="8">
      <c r="A8" t="inlineStr">
        <is>
          <t>Total staff cost</t>
        </is>
      </c>
      <c r="C8">
        <f>C6+C7</f>
        <v>166683.0</v>
      </c>
      <c r="D8">
        <f>D6+D7</f>
        <v>190495.0</v>
      </c>
      <c r="E8">
        <f>E6+E7</f>
        <v>214307.0</v>
      </c>
      <c r="F8">
        <f>F6+F7</f>
        <v>238119.0</v>
      </c>
      <c r="G8">
        <f>G6+G7</f>
        <v>261931.0</v>
      </c>
      <c r="H8">
        <f>H6+H7</f>
        <v>285743.0</v>
      </c>
      <c r="I8">
        <f>I6+I7</f>
        <v>309555.0</v>
      </c>
      <c r="J8">
        <f>J6+J7</f>
        <v>333367.0</v>
      </c>
      <c r="K8">
        <f>K6+K7</f>
        <v>357179.0</v>
      </c>
      <c r="L8">
        <f>L6+L7</f>
        <v>380990.0</v>
      </c>
      <c r="M8">
        <f>M6+M7</f>
        <v>404802.0</v>
      </c>
      <c r="N8">
        <f>N6+N7</f>
        <v>428614.0</v>
      </c>
      <c r="O8">
        <f>O6+O7</f>
        <v>452426.0</v>
      </c>
      <c r="P8">
        <f>P6+P7</f>
        <v>476238.0</v>
      </c>
      <c r="Q8">
        <f>Q6+Q7</f>
        <v>500050.0</v>
      </c>
      <c r="R8">
        <f>R6+R7</f>
        <v>523862.0</v>
      </c>
      <c r="S8">
        <f>S6+S7</f>
        <v>547674.0</v>
      </c>
      <c r="T8">
        <f>T6+T7</f>
        <v>571486.0</v>
      </c>
      <c r="U8">
        <f>U6+U7</f>
        <v>595298.0</v>
      </c>
      <c r="V8">
        <f>V6+V7</f>
        <v>619109.0</v>
      </c>
      <c r="W8">
        <f>W6+W7</f>
        <v>642921.0</v>
      </c>
      <c r="X8">
        <f>X6+X7</f>
        <v>666733.0</v>
      </c>
      <c r="Y8">
        <f>Y6+Y7</f>
        <v>690545.0</v>
      </c>
      <c r="Z8">
        <f>Z6+Z7</f>
        <v>714357.0</v>
      </c>
    </row>
    <row r="10">
      <c r="A10" t="inlineStr">
        <is>
          <t>Cost of sales</t>
        </is>
      </c>
      <c r="C10">
        <f>ROUND(Revenue!C15*Assumptions!$B$11,0)</f>
        <v>198703.0</v>
      </c>
      <c r="D10">
        <f>ROUND(Revenue!D15*Assumptions!$B$11,0)</f>
        <v>213855.0</v>
      </c>
      <c r="E10">
        <f>ROUND(Revenue!E15*Assumptions!$B$11,0)</f>
        <v>230120.0</v>
      </c>
      <c r="F10">
        <f>ROUND(Revenue!F15*Assumptions!$B$11,0)</f>
        <v>247611.0</v>
      </c>
      <c r="G10">
        <f>ROUND(Revenue!G15*Assumptions!$B$11,0)</f>
        <v>266454.0</v>
      </c>
      <c r="H10">
        <f>ROUND(Revenue!H15*Assumptions!$B$11,0)</f>
        <v>286732.0</v>
      </c>
      <c r="I10">
        <f>ROUND(Revenue!I15*Assumptions!$B$11,0)</f>
        <v>308536.0</v>
      </c>
      <c r="J10">
        <f>ROUND(Revenue!J15*Assumptions!$B$11,0)</f>
        <v>332030.0</v>
      </c>
      <c r="K10">
        <f>ROUND(Revenue!K15*Assumptions!$B$11,0)</f>
        <v>357308.0</v>
      </c>
      <c r="L10">
        <f>ROUND(Revenue!L15*Assumptions!$B$11,0)</f>
        <v>384489.0</v>
      </c>
      <c r="M10">
        <f>ROUND(Revenue!M15*Assumptions!$B$11,0)</f>
        <v>413757.0</v>
      </c>
      <c r="N10">
        <f>ROUND(Revenue!N15*Assumptions!$B$11,0)</f>
        <v>445241.0</v>
      </c>
      <c r="O10">
        <f>ROUND(Revenue!O15*Assumptions!$B$11,0)</f>
        <v>479132.0</v>
      </c>
      <c r="P10">
        <f>ROUND(Revenue!P15*Assumptions!$B$11,0)</f>
        <v>515590.0</v>
      </c>
      <c r="Q10">
        <f>ROUND(Revenue!Q15*Assumptions!$B$11,0)</f>
        <v>554850.0</v>
      </c>
      <c r="R10">
        <f>ROUND(Revenue!R15*Assumptions!$B$11,0)</f>
        <v>597090.0</v>
      </c>
      <c r="S10">
        <f>ROUND(Revenue!S15*Assumptions!$B$11,0)</f>
        <v>642503.0</v>
      </c>
      <c r="T10">
        <f>ROUND(Revenue!T15*Assumptions!$B$11,0)</f>
        <v>691381.0</v>
      </c>
      <c r="U10">
        <f>ROUND(Revenue!U15*Assumptions!$B$11,0)</f>
        <v>744038.0</v>
      </c>
      <c r="V10">
        <f>ROUND(Revenue!V15*Assumptions!$B$11,0)</f>
        <v>800675.0</v>
      </c>
      <c r="W10">
        <f>ROUND(Revenue!W15*Assumptions!$B$11,0)</f>
        <v>861592.0</v>
      </c>
      <c r="X10">
        <f>ROUND(Revenue!X15*Assumptions!$B$11,0)</f>
        <v>927150.0</v>
      </c>
      <c r="Y10">
        <f>ROUND(Revenue!Y15*Assumptions!$B$11,0)</f>
        <v>997696.0</v>
      </c>
      <c r="Z10">
        <f>ROUND(Revenue!Z15*Assumptions!$B$11,0)</f>
        <v>1073649.0</v>
      </c>
    </row>
    <row r="11">
      <c r="A11" t="inlineStr">
        <is>
          <t>Marketing</t>
        </is>
      </c>
      <c r="C11">
        <f>ROUND(Revenue!C15*Assumptions!$B$16,0)</f>
        <v>92657.0</v>
      </c>
      <c r="D11">
        <f>ROUND(Revenue!D15*Assumptions!$B$16,0)</f>
        <v>99722.0</v>
      </c>
      <c r="E11">
        <f>ROUND(Revenue!E15*Assumptions!$B$16,0)</f>
        <v>107307.0</v>
      </c>
      <c r="F11">
        <f>ROUND(Revenue!F15*Assumptions!$B$16,0)</f>
        <v>115463.0</v>
      </c>
      <c r="G11">
        <f>ROUND(Revenue!G15*Assumptions!$B$16,0)</f>
        <v>124250.0</v>
      </c>
      <c r="H11">
        <f>ROUND(Revenue!H15*Assumptions!$B$16,0)</f>
        <v>133706.0</v>
      </c>
      <c r="I11">
        <f>ROUND(Revenue!I15*Assumptions!$B$16,0)</f>
        <v>143873.0</v>
      </c>
      <c r="J11">
        <f>ROUND(Revenue!J15*Assumptions!$B$16,0)</f>
        <v>154829.0</v>
      </c>
      <c r="K11">
        <f>ROUND(Revenue!K15*Assumptions!$B$16,0)</f>
        <v>166616.0</v>
      </c>
      <c r="L11">
        <f>ROUND(Revenue!L15*Assumptions!$B$16,0)</f>
        <v>179291.0</v>
      </c>
      <c r="M11">
        <f>ROUND(Revenue!M15*Assumptions!$B$16,0)</f>
        <v>192939.0</v>
      </c>
      <c r="N11">
        <f>ROUND(Revenue!N15*Assumptions!$B$16,0)</f>
        <v>207620.0</v>
      </c>
      <c r="O11">
        <f>ROUND(Revenue!O15*Assumptions!$B$16,0)</f>
        <v>223424.0</v>
      </c>
      <c r="P11">
        <f>ROUND(Revenue!P15*Assumptions!$B$16,0)</f>
        <v>240425.0</v>
      </c>
      <c r="Q11">
        <f>ROUND(Revenue!Q15*Assumptions!$B$16,0)</f>
        <v>258732.0</v>
      </c>
      <c r="R11">
        <f>ROUND(Revenue!R15*Assumptions!$B$16,0)</f>
        <v>278429.0</v>
      </c>
      <c r="S11">
        <f>ROUND(Revenue!S15*Assumptions!$B$16,0)</f>
        <v>299605.0</v>
      </c>
      <c r="T11">
        <f>ROUND(Revenue!T15*Assumptions!$B$16,0)</f>
        <v>322398.0</v>
      </c>
      <c r="U11">
        <f>ROUND(Revenue!U15*Assumptions!$B$16,0)</f>
        <v>346952.0</v>
      </c>
      <c r="V11">
        <f>ROUND(Revenue!V15*Assumptions!$B$16,0)</f>
        <v>373363.0</v>
      </c>
      <c r="W11">
        <f>ROUND(Revenue!W15*Assumptions!$B$16,0)</f>
        <v>401769.0</v>
      </c>
      <c r="X11">
        <f>ROUND(Revenue!X15*Assumptions!$B$16,0)</f>
        <v>432339.0</v>
      </c>
      <c r="Y11">
        <f>ROUND(Revenue!Y15*Assumptions!$B$16,0)</f>
        <v>465235.0</v>
      </c>
      <c r="Z11">
        <f>ROUND(Revenue!Z15*Assumptions!$B$16,0)</f>
        <v>500653.0</v>
      </c>
    </row>
    <row r="12">
      <c r="A12" t="inlineStr">
        <is>
          <t>Overhead</t>
        </is>
      </c>
      <c r="C12">
        <f>ROUND(Assumptions!$B$17,0)</f>
        <v>45000.0</v>
      </c>
      <c r="D12">
        <f>ROUND(C12*(1+Assumptions!$B$18),0)</f>
        <v>45113.0</v>
      </c>
      <c r="E12">
        <f>ROUND(D12*(1+Assumptions!$B$18),0)</f>
        <v>45226.0</v>
      </c>
      <c r="F12">
        <f>ROUND(E12*(1+Assumptions!$B$18),0)</f>
        <v>45339.0</v>
      </c>
      <c r="G12">
        <f>ROUND(F12*(1+Assumptions!$B$18),0)</f>
        <v>45452.0</v>
      </c>
      <c r="H12">
        <f>ROUND(G12*(1+Assumptions!$B$18),0)</f>
        <v>45566.0</v>
      </c>
      <c r="I12">
        <f>ROUND(H12*(1+Assumptions!$B$18),0)</f>
        <v>45680.0</v>
      </c>
      <c r="J12">
        <f>ROUND(I12*(1+Assumptions!$B$18),0)</f>
        <v>45794.0</v>
      </c>
      <c r="K12">
        <f>ROUND(J12*(1+Assumptions!$B$18),0)</f>
        <v>45908.0</v>
      </c>
      <c r="L12">
        <f>ROUND(K12*(1+Assumptions!$B$18),0)</f>
        <v>46023.0</v>
      </c>
      <c r="M12">
        <f>ROUND(L12*(1+Assumptions!$B$18),0)</f>
        <v>46138.0</v>
      </c>
      <c r="N12">
        <f>ROUND(M12*(1+Assumptions!$B$18),0)</f>
        <v>46253.0</v>
      </c>
      <c r="O12">
        <f>ROUND(N12*(1+Assumptions!$B$18),0)</f>
        <v>46369.0</v>
      </c>
      <c r="P12">
        <f>ROUND(O12*(1+Assumptions!$B$18),0)</f>
        <v>46485.0</v>
      </c>
      <c r="Q12">
        <f>ROUND(P12*(1+Assumptions!$B$18),0)</f>
        <v>46601.0</v>
      </c>
      <c r="R12">
        <f>ROUND(Q12*(1+Assumptions!$B$18),0)</f>
        <v>46718.0</v>
      </c>
      <c r="S12">
        <f>ROUND(R12*(1+Assumptions!$B$18),0)</f>
        <v>46835.0</v>
      </c>
      <c r="T12">
        <f>ROUND(S12*(1+Assumptions!$B$18),0)</f>
        <v>46952.0</v>
      </c>
      <c r="U12">
        <f>ROUND(T12*(1+Assumptions!$B$18),0)</f>
        <v>47069.0</v>
      </c>
      <c r="V12">
        <f>ROUND(U12*(1+Assumptions!$B$18),0)</f>
        <v>47187.0</v>
      </c>
      <c r="W12">
        <f>ROUND(V12*(1+Assumptions!$B$18),0)</f>
        <v>47305.0</v>
      </c>
      <c r="X12">
        <f>ROUND(W12*(1+Assumptions!$B$18),0)</f>
        <v>47423.0</v>
      </c>
      <c r="Y12">
        <f>ROUND(X12*(1+Assumptions!$B$18),0)</f>
        <v>47542.0</v>
      </c>
      <c r="Z12">
        <f>ROUND(Y12*(1+Assumptions!$B$18),0)</f>
        <v>47661.0</v>
      </c>
    </row>
    <row r="14">
      <c r="A14" t="inlineStr">
        <is>
          <t>Total costs</t>
        </is>
      </c>
      <c r="C14">
        <f>C8+C10+C11+C12</f>
        <v>503043.0</v>
      </c>
      <c r="D14">
        <f>D8+D10+D11+D12</f>
        <v>549185.0</v>
      </c>
      <c r="E14">
        <f>E8+E10+E11+E12</f>
        <v>596960.0</v>
      </c>
      <c r="F14">
        <f>F8+F10+F11+F12</f>
        <v>646532.0</v>
      </c>
      <c r="G14">
        <f>G8+G10+G11+G12</f>
        <v>698087.0</v>
      </c>
      <c r="H14">
        <f>H8+H10+H11+H12</f>
        <v>751747.0</v>
      </c>
      <c r="I14">
        <f>I8+I10+I11+I12</f>
        <v>807644.0</v>
      </c>
      <c r="J14">
        <f>J8+J10+J11+J12</f>
        <v>866020.0</v>
      </c>
      <c r="K14">
        <f>K8+K10+K11+K12</f>
        <v>927011.0</v>
      </c>
      <c r="L14">
        <f>L8+L10+L11+L12</f>
        <v>990793.0</v>
      </c>
      <c r="M14">
        <f>M8+M10+M11+M12</f>
        <v>1057636.0</v>
      </c>
      <c r="N14">
        <f>N8+N10+N11+N12</f>
        <v>1127728.0</v>
      </c>
      <c r="O14">
        <f>O8+O10+O11+O12</f>
        <v>1201351.0</v>
      </c>
      <c r="P14">
        <f>P8+P10+P11+P12</f>
        <v>1278738.0</v>
      </c>
      <c r="Q14">
        <f>Q8+Q10+Q11+Q12</f>
        <v>1360233.0</v>
      </c>
      <c r="R14">
        <f>R8+R10+R11+R12</f>
        <v>1446099.0</v>
      </c>
      <c r="S14">
        <f>S8+S10+S11+S12</f>
        <v>1536617.0</v>
      </c>
      <c r="T14">
        <f>T8+T10+T11+T12</f>
        <v>1632217.0</v>
      </c>
      <c r="U14">
        <f>U8+U10+U11+U12</f>
        <v>1733357.0</v>
      </c>
      <c r="V14">
        <f>V8+V10+V11+V12</f>
        <v>1840334.0</v>
      </c>
      <c r="W14">
        <f>W8+W10+W11+W12</f>
        <v>1953587.0</v>
      </c>
      <c r="X14">
        <f>X8+X10+X11+X12</f>
        <v>2073645.0</v>
      </c>
      <c r="Y14">
        <f>Y8+Y10+Y11+Y12</f>
        <v>2201018.0</v>
      </c>
      <c r="Z14">
        <f>Z8+Z10+Z11+Z12</f>
        <v>2336320.0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Profit and loss</t>
        </is>
      </c>
    </row>
    <row r="3">
      <c r="A3" t="inlineStr">
        <is>
          <t>Month</t>
        </is>
      </c>
      <c r="C3">
        <f>Revenue!C3</f>
        <v>1.0</v>
      </c>
      <c r="D3">
        <f>Revenue!D3</f>
        <v>2.0</v>
      </c>
      <c r="E3">
        <f>Revenue!E3</f>
        <v>3.0</v>
      </c>
      <c r="F3">
        <f>Revenue!F3</f>
        <v>4.0</v>
      </c>
      <c r="G3">
        <f>Revenue!G3</f>
        <v>5.0</v>
      </c>
      <c r="H3">
        <f>Revenue!H3</f>
        <v>6.0</v>
      </c>
      <c r="I3">
        <f>Revenue!I3</f>
        <v>7.0</v>
      </c>
      <c r="J3">
        <f>Revenue!J3</f>
        <v>8.0</v>
      </c>
      <c r="K3">
        <f>Revenue!K3</f>
        <v>9.0</v>
      </c>
      <c r="L3">
        <f>Revenue!L3</f>
        <v>10.0</v>
      </c>
      <c r="M3">
        <f>Revenue!M3</f>
        <v>11.0</v>
      </c>
      <c r="N3">
        <f>Revenue!N3</f>
        <v>12.0</v>
      </c>
      <c r="O3">
        <f>Revenue!O3</f>
        <v>13.0</v>
      </c>
      <c r="P3">
        <f>Revenue!P3</f>
        <v>14.0</v>
      </c>
      <c r="Q3">
        <f>Revenue!Q3</f>
        <v>15.0</v>
      </c>
      <c r="R3">
        <f>Revenue!R3</f>
        <v>16.0</v>
      </c>
      <c r="S3">
        <f>Revenue!S3</f>
        <v>17.0</v>
      </c>
      <c r="T3">
        <f>Revenue!T3</f>
        <v>18.0</v>
      </c>
      <c r="U3">
        <f>Revenue!U3</f>
        <v>19.0</v>
      </c>
      <c r="V3">
        <f>Revenue!V3</f>
        <v>20.0</v>
      </c>
      <c r="W3">
        <f>Revenue!W3</f>
        <v>21.0</v>
      </c>
      <c r="X3">
        <f>Revenue!X3</f>
        <v>22.0</v>
      </c>
      <c r="Y3">
        <f>Revenue!Y3</f>
        <v>23.0</v>
      </c>
      <c r="Z3">
        <f>Revenue!Z3</f>
        <v>24.0</v>
      </c>
      <c r="AA3" t="inlineStr">
        <is>
          <t>Total</t>
        </is>
      </c>
    </row>
    <row r="5">
      <c r="A5" t="inlineStr">
        <is>
          <t>Revenue</t>
        </is>
      </c>
      <c r="C5">
        <f>Revenue!C15</f>
        <v>886670.0</v>
      </c>
      <c r="D5">
        <f>Revenue!D15</f>
        <v>954282.0</v>
      </c>
      <c r="E5">
        <f>Revenue!E15</f>
        <v>1026862.0</v>
      </c>
      <c r="F5">
        <f>Revenue!F15</f>
        <v>1104912.0</v>
      </c>
      <c r="G5">
        <f>Revenue!G15</f>
        <v>1188995.0</v>
      </c>
      <c r="H5">
        <f>Revenue!H15</f>
        <v>1279484.0</v>
      </c>
      <c r="I5">
        <f>Revenue!I15</f>
        <v>1376777.0</v>
      </c>
      <c r="J5">
        <f>Revenue!J15</f>
        <v>1481615.0</v>
      </c>
      <c r="K5">
        <f>Revenue!K15</f>
        <v>1594411.0</v>
      </c>
      <c r="L5">
        <f>Revenue!L15</f>
        <v>1715704.0</v>
      </c>
      <c r="M5">
        <f>Revenue!M15</f>
        <v>1846305.0</v>
      </c>
      <c r="N5">
        <f>Revenue!N15</f>
        <v>1986794.0</v>
      </c>
      <c r="O5">
        <f>Revenue!O15</f>
        <v>2138029.0</v>
      </c>
      <c r="P5">
        <f>Revenue!P15</f>
        <v>2300714.0</v>
      </c>
      <c r="Q5">
        <f>Revenue!Q15</f>
        <v>2475903.0</v>
      </c>
      <c r="R5">
        <f>Revenue!R15</f>
        <v>2664389.0</v>
      </c>
      <c r="S5">
        <f>Revenue!S15</f>
        <v>2867038.0</v>
      </c>
      <c r="T5">
        <f>Revenue!T15</f>
        <v>3085144.0</v>
      </c>
      <c r="U5">
        <f>Revenue!U15</f>
        <v>3320115.0</v>
      </c>
      <c r="V5">
        <f>Revenue!V15</f>
        <v>3572849.0</v>
      </c>
      <c r="W5">
        <f>Revenue!W15</f>
        <v>3844677.0</v>
      </c>
      <c r="X5">
        <f>Revenue!X15</f>
        <v>4137216.0</v>
      </c>
      <c r="Y5">
        <f>Revenue!Y15</f>
        <v>4452012.0</v>
      </c>
      <c r="Z5">
        <f>Revenue!Z15</f>
        <v>4790936.0</v>
      </c>
      <c r="AA5">
        <f>SUM(C5:Z5)</f>
        <v>56091833.0</v>
      </c>
    </row>
    <row r="6">
      <c r="A6" t="inlineStr">
        <is>
          <t>Cost of sales</t>
        </is>
      </c>
      <c r="C6">
        <f>-Costs!C10</f>
        <v>-198703.0</v>
      </c>
      <c r="D6">
        <f>-Costs!D10</f>
        <v>-213855.0</v>
      </c>
      <c r="E6">
        <f>-Costs!E10</f>
        <v>-230120.0</v>
      </c>
      <c r="F6">
        <f>-Costs!F10</f>
        <v>-247611.0</v>
      </c>
      <c r="G6">
        <f>-Costs!G10</f>
        <v>-266454.0</v>
      </c>
      <c r="H6">
        <f>-Costs!H10</f>
        <v>-286732.0</v>
      </c>
      <c r="I6">
        <f>-Costs!I10</f>
        <v>-308536.0</v>
      </c>
      <c r="J6">
        <f>-Costs!J10</f>
        <v>-332030.0</v>
      </c>
      <c r="K6">
        <f>-Costs!K10</f>
        <v>-357308.0</v>
      </c>
      <c r="L6">
        <f>-Costs!L10</f>
        <v>-384489.0</v>
      </c>
      <c r="M6">
        <f>-Costs!M10</f>
        <v>-413757.0</v>
      </c>
      <c r="N6">
        <f>-Costs!N10</f>
        <v>-445241.0</v>
      </c>
      <c r="O6">
        <f>-Costs!O10</f>
        <v>-479132.0</v>
      </c>
      <c r="P6">
        <f>-Costs!P10</f>
        <v>-515590.0</v>
      </c>
      <c r="Q6">
        <f>-Costs!Q10</f>
        <v>-554850.0</v>
      </c>
      <c r="R6">
        <f>-Costs!R10</f>
        <v>-597090.0</v>
      </c>
      <c r="S6">
        <f>-Costs!S10</f>
        <v>-642503.0</v>
      </c>
      <c r="T6">
        <f>-Costs!T10</f>
        <v>-691381.0</v>
      </c>
      <c r="U6">
        <f>-Costs!U10</f>
        <v>-744038.0</v>
      </c>
      <c r="V6">
        <f>-Costs!V10</f>
        <v>-800675.0</v>
      </c>
      <c r="W6">
        <f>-Costs!W10</f>
        <v>-861592.0</v>
      </c>
      <c r="X6">
        <f>-Costs!X10</f>
        <v>-927150.0</v>
      </c>
      <c r="Y6">
        <f>-Costs!Y10</f>
        <v>-997696.0</v>
      </c>
      <c r="Z6">
        <f>-Costs!Z10</f>
        <v>-1073649.0</v>
      </c>
      <c r="AA6">
        <f>SUM(C6:Z6)</f>
        <v>-12570182.0</v>
      </c>
    </row>
    <row r="7">
      <c r="A7" t="inlineStr">
        <is>
          <t>Gross profit</t>
        </is>
      </c>
      <c r="C7">
        <f>C5+C6</f>
        <v>687967.0</v>
      </c>
      <c r="D7">
        <f>D5+D6</f>
        <v>740427.0</v>
      </c>
      <c r="E7">
        <f>E5+E6</f>
        <v>796742.0</v>
      </c>
      <c r="F7">
        <f>F5+F6</f>
        <v>857301.0</v>
      </c>
      <c r="G7">
        <f>G5+G6</f>
        <v>922541.0</v>
      </c>
      <c r="H7">
        <f>H5+H6</f>
        <v>992752.0</v>
      </c>
      <c r="I7">
        <f>I5+I6</f>
        <v>1068241.0</v>
      </c>
      <c r="J7">
        <f>J5+J6</f>
        <v>1149585.0</v>
      </c>
      <c r="K7">
        <f>K5+K6</f>
        <v>1237103.0</v>
      </c>
      <c r="L7">
        <f>L5+L6</f>
        <v>1331215.0</v>
      </c>
      <c r="M7">
        <f>M5+M6</f>
        <v>1432548.0</v>
      </c>
      <c r="N7">
        <f>N5+N6</f>
        <v>1541553.0</v>
      </c>
      <c r="O7">
        <f>O5+O6</f>
        <v>1658897.0</v>
      </c>
      <c r="P7">
        <f>P5+P6</f>
        <v>1785124.0</v>
      </c>
      <c r="Q7">
        <f>Q5+Q6</f>
        <v>1921053.0</v>
      </c>
      <c r="R7">
        <f>R5+R6</f>
        <v>2067299.0</v>
      </c>
      <c r="S7">
        <f>S5+S6</f>
        <v>2224535.0</v>
      </c>
      <c r="T7">
        <f>T5+T6</f>
        <v>2393763.0</v>
      </c>
      <c r="U7">
        <f>U5+U6</f>
        <v>2576077.0</v>
      </c>
      <c r="V7">
        <f>V5+V6</f>
        <v>2772174.0</v>
      </c>
      <c r="W7">
        <f>W5+W6</f>
        <v>2983085.0</v>
      </c>
      <c r="X7">
        <f>X5+X6</f>
        <v>3210066.0</v>
      </c>
      <c r="Y7">
        <f>Y5+Y6</f>
        <v>3454316.0</v>
      </c>
      <c r="Z7">
        <f>Z5+Z6</f>
        <v>3717287.0</v>
      </c>
      <c r="AA7">
        <f>SUM(C7:Z7)</f>
        <v>43521651.0</v>
      </c>
    </row>
    <row r="8">
      <c r="A8" t="inlineStr">
        <is>
          <t>Gross margin</t>
        </is>
      </c>
      <c r="C8">
        <f>IF(C5=0,0,ROUND(C7/C5,4))</f>
        <v>0.7759</v>
      </c>
      <c r="D8">
        <f>IF(D5=0,0,ROUND(D7/D5,4))</f>
        <v>0.7759</v>
      </c>
      <c r="E8">
        <f>IF(E5=0,0,ROUND(E7/E5,4))</f>
        <v>0.7759</v>
      </c>
      <c r="F8">
        <f>IF(F5=0,0,ROUND(F7/F5,4))</f>
        <v>0.7759</v>
      </c>
      <c r="G8">
        <f>IF(G5=0,0,ROUND(G7/G5,4))</f>
        <v>0.7759</v>
      </c>
      <c r="H8">
        <f>IF(H5=0,0,ROUND(H7/H5,4))</f>
        <v>0.7759</v>
      </c>
      <c r="I8">
        <f>IF(I5=0,0,ROUND(I7/I5,4))</f>
        <v>0.7759</v>
      </c>
      <c r="J8">
        <f>IF(J5=0,0,ROUND(J7/J5,4))</f>
        <v>0.7759</v>
      </c>
      <c r="K8">
        <f>IF(K5=0,0,ROUND(K7/K5,4))</f>
        <v>0.7759</v>
      </c>
      <c r="L8">
        <f>IF(L5=0,0,ROUND(L7/L5,4))</f>
        <v>0.7759</v>
      </c>
      <c r="M8">
        <f>IF(M5=0,0,ROUND(M7/M5,4))</f>
        <v>0.7759</v>
      </c>
      <c r="N8">
        <f>IF(N5=0,0,ROUND(N7/N5,4))</f>
        <v>0.7759</v>
      </c>
      <c r="O8">
        <f>IF(O5=0,0,ROUND(O7/O5,4))</f>
        <v>0.7759</v>
      </c>
      <c r="P8">
        <f>IF(P5=0,0,ROUND(P7/P5,4))</f>
        <v>0.7759</v>
      </c>
      <c r="Q8">
        <f>IF(Q5=0,0,ROUND(Q7/Q5,4))</f>
        <v>0.7759</v>
      </c>
      <c r="R8">
        <f>IF(R5=0,0,ROUND(R7/R5,4))</f>
        <v>0.7759</v>
      </c>
      <c r="S8">
        <f>IF(S5=0,0,ROUND(S7/S5,4))</f>
        <v>0.7759</v>
      </c>
      <c r="T8">
        <f>IF(T5=0,0,ROUND(T7/T5,4))</f>
        <v>0.7759</v>
      </c>
      <c r="U8">
        <f>IF(U5=0,0,ROUND(U7/U5,4))</f>
        <v>0.7759</v>
      </c>
      <c r="V8">
        <f>IF(V5=0,0,ROUND(V7/V5,4))</f>
        <v>0.7759</v>
      </c>
      <c r="W8">
        <f>IF(W5=0,0,ROUND(W7/W5,4))</f>
        <v>0.7759</v>
      </c>
      <c r="X8">
        <f>IF(X5=0,0,ROUND(X7/X5,4))</f>
        <v>0.7759</v>
      </c>
      <c r="Y8">
        <f>IF(Y5=0,0,ROUND(Y7/Y5,4))</f>
        <v>0.7759</v>
      </c>
      <c r="Z8">
        <f>IF(Z5=0,0,ROUND(Z7/Z5,4))</f>
        <v>0.7759</v>
      </c>
    </row>
    <row r="10">
      <c r="A10" t="inlineStr">
        <is>
          <t>Staff costs</t>
        </is>
      </c>
      <c r="C10">
        <f>-Costs!C8</f>
        <v>-166683.0</v>
      </c>
      <c r="D10">
        <f>-Costs!D8</f>
        <v>-190495.0</v>
      </c>
      <c r="E10">
        <f>-Costs!E8</f>
        <v>-214307.0</v>
      </c>
      <c r="F10">
        <f>-Costs!F8</f>
        <v>-238119.0</v>
      </c>
      <c r="G10">
        <f>-Costs!G8</f>
        <v>-261931.0</v>
      </c>
      <c r="H10">
        <f>-Costs!H8</f>
        <v>-285743.0</v>
      </c>
      <c r="I10">
        <f>-Costs!I8</f>
        <v>-309555.0</v>
      </c>
      <c r="J10">
        <f>-Costs!J8</f>
        <v>-333367.0</v>
      </c>
      <c r="K10">
        <f>-Costs!K8</f>
        <v>-357179.0</v>
      </c>
      <c r="L10">
        <f>-Costs!L8</f>
        <v>-380990.0</v>
      </c>
      <c r="M10">
        <f>-Costs!M8</f>
        <v>-404802.0</v>
      </c>
      <c r="N10">
        <f>-Costs!N8</f>
        <v>-428614.0</v>
      </c>
      <c r="O10">
        <f>-Costs!O8</f>
        <v>-452426.0</v>
      </c>
      <c r="P10">
        <f>-Costs!P8</f>
        <v>-476238.0</v>
      </c>
      <c r="Q10">
        <f>-Costs!Q8</f>
        <v>-500050.0</v>
      </c>
      <c r="R10">
        <f>-Costs!R8</f>
        <v>-523862.0</v>
      </c>
      <c r="S10">
        <f>-Costs!S8</f>
        <v>-547674.0</v>
      </c>
      <c r="T10">
        <f>-Costs!T8</f>
        <v>-571486.0</v>
      </c>
      <c r="U10">
        <f>-Costs!U8</f>
        <v>-595298.0</v>
      </c>
      <c r="V10">
        <f>-Costs!V8</f>
        <v>-619109.0</v>
      </c>
      <c r="W10">
        <f>-Costs!W8</f>
        <v>-642921.0</v>
      </c>
      <c r="X10">
        <f>-Costs!X8</f>
        <v>-666733.0</v>
      </c>
      <c r="Y10">
        <f>-Costs!Y8</f>
        <v>-690545.0</v>
      </c>
      <c r="Z10">
        <f>-Costs!Z8</f>
        <v>-714357.0</v>
      </c>
      <c r="AA10">
        <f>SUM(C10:Z10)</f>
        <v>-10572484.0</v>
      </c>
    </row>
    <row r="11">
      <c r="A11" t="inlineStr">
        <is>
          <t>Marketing</t>
        </is>
      </c>
      <c r="C11">
        <f>-Costs!C11</f>
        <v>-92657.0</v>
      </c>
      <c r="D11">
        <f>-Costs!D11</f>
        <v>-99722.0</v>
      </c>
      <c r="E11">
        <f>-Costs!E11</f>
        <v>-107307.0</v>
      </c>
      <c r="F11">
        <f>-Costs!F11</f>
        <v>-115463.0</v>
      </c>
      <c r="G11">
        <f>-Costs!G11</f>
        <v>-124250.0</v>
      </c>
      <c r="H11">
        <f>-Costs!H11</f>
        <v>-133706.0</v>
      </c>
      <c r="I11">
        <f>-Costs!I11</f>
        <v>-143873.0</v>
      </c>
      <c r="J11">
        <f>-Costs!J11</f>
        <v>-154829.0</v>
      </c>
      <c r="K11">
        <f>-Costs!K11</f>
        <v>-166616.0</v>
      </c>
      <c r="L11">
        <f>-Costs!L11</f>
        <v>-179291.0</v>
      </c>
      <c r="M11">
        <f>-Costs!M11</f>
        <v>-192939.0</v>
      </c>
      <c r="N11">
        <f>-Costs!N11</f>
        <v>-207620.0</v>
      </c>
      <c r="O11">
        <f>-Costs!O11</f>
        <v>-223424.0</v>
      </c>
      <c r="P11">
        <f>-Costs!P11</f>
        <v>-240425.0</v>
      </c>
      <c r="Q11">
        <f>-Costs!Q11</f>
        <v>-258732.0</v>
      </c>
      <c r="R11">
        <f>-Costs!R11</f>
        <v>-278429.0</v>
      </c>
      <c r="S11">
        <f>-Costs!S11</f>
        <v>-299605.0</v>
      </c>
      <c r="T11">
        <f>-Costs!T11</f>
        <v>-322398.0</v>
      </c>
      <c r="U11">
        <f>-Costs!U11</f>
        <v>-346952.0</v>
      </c>
      <c r="V11">
        <f>-Costs!V11</f>
        <v>-373363.0</v>
      </c>
      <c r="W11">
        <f>-Costs!W11</f>
        <v>-401769.0</v>
      </c>
      <c r="X11">
        <f>-Costs!X11</f>
        <v>-432339.0</v>
      </c>
      <c r="Y11">
        <f>-Costs!Y11</f>
        <v>-465235.0</v>
      </c>
      <c r="Z11">
        <f>-Costs!Z11</f>
        <v>-500653.0</v>
      </c>
      <c r="AA11">
        <f>SUM(C11:Z11)</f>
        <v>-5861597.0</v>
      </c>
    </row>
    <row r="12">
      <c r="A12" t="inlineStr">
        <is>
          <t>Overhead</t>
        </is>
      </c>
      <c r="C12">
        <f>-Costs!C12</f>
        <v>-45000.0</v>
      </c>
      <c r="D12">
        <f>-Costs!D12</f>
        <v>-45113.0</v>
      </c>
      <c r="E12">
        <f>-Costs!E12</f>
        <v>-45226.0</v>
      </c>
      <c r="F12">
        <f>-Costs!F12</f>
        <v>-45339.0</v>
      </c>
      <c r="G12">
        <f>-Costs!G12</f>
        <v>-45452.0</v>
      </c>
      <c r="H12">
        <f>-Costs!H12</f>
        <v>-45566.0</v>
      </c>
      <c r="I12">
        <f>-Costs!I12</f>
        <v>-45680.0</v>
      </c>
      <c r="J12">
        <f>-Costs!J12</f>
        <v>-45794.0</v>
      </c>
      <c r="K12">
        <f>-Costs!K12</f>
        <v>-45908.0</v>
      </c>
      <c r="L12">
        <f>-Costs!L12</f>
        <v>-46023.0</v>
      </c>
      <c r="M12">
        <f>-Costs!M12</f>
        <v>-46138.0</v>
      </c>
      <c r="N12">
        <f>-Costs!N12</f>
        <v>-46253.0</v>
      </c>
      <c r="O12">
        <f>-Costs!O12</f>
        <v>-46369.0</v>
      </c>
      <c r="P12">
        <f>-Costs!P12</f>
        <v>-46485.0</v>
      </c>
      <c r="Q12">
        <f>-Costs!Q12</f>
        <v>-46601.0</v>
      </c>
      <c r="R12">
        <f>-Costs!R12</f>
        <v>-46718.0</v>
      </c>
      <c r="S12">
        <f>-Costs!S12</f>
        <v>-46835.0</v>
      </c>
      <c r="T12">
        <f>-Costs!T12</f>
        <v>-46952.0</v>
      </c>
      <c r="U12">
        <f>-Costs!U12</f>
        <v>-47069.0</v>
      </c>
      <c r="V12">
        <f>-Costs!V12</f>
        <v>-47187.0</v>
      </c>
      <c r="W12">
        <f>-Costs!W12</f>
        <v>-47305.0</v>
      </c>
      <c r="X12">
        <f>-Costs!X12</f>
        <v>-47423.0</v>
      </c>
      <c r="Y12">
        <f>-Costs!Y12</f>
        <v>-47542.0</v>
      </c>
      <c r="Z12">
        <f>-Costs!Z12</f>
        <v>-47661.0</v>
      </c>
      <c r="AA12">
        <f>SUM(C12:Z12)</f>
        <v>-1111639.0</v>
      </c>
    </row>
    <row r="13">
      <c r="A13" t="inlineStr">
        <is>
          <t>Total operating costs</t>
        </is>
      </c>
      <c r="C13">
        <f>C10+C11+C12</f>
        <v>-304340.0</v>
      </c>
      <c r="D13">
        <f>D10+D11+D12</f>
        <v>-335330.0</v>
      </c>
      <c r="E13">
        <f>E10+E11+E12</f>
        <v>-366840.0</v>
      </c>
      <c r="F13">
        <f>F10+F11+F12</f>
        <v>-398921.0</v>
      </c>
      <c r="G13">
        <f>G10+G11+G12</f>
        <v>-431633.0</v>
      </c>
      <c r="H13">
        <f>H10+H11+H12</f>
        <v>-465015.0</v>
      </c>
      <c r="I13">
        <f>I10+I11+I12</f>
        <v>-499108.0</v>
      </c>
      <c r="J13">
        <f>J10+J11+J12</f>
        <v>-533990.0</v>
      </c>
      <c r="K13">
        <f>K10+K11+K12</f>
        <v>-569703.0</v>
      </c>
      <c r="L13">
        <f>L10+L11+L12</f>
        <v>-606304.0</v>
      </c>
      <c r="M13">
        <f>M10+M11+M12</f>
        <v>-643879.0</v>
      </c>
      <c r="N13">
        <f>N10+N11+N12</f>
        <v>-682487.0</v>
      </c>
      <c r="O13">
        <f>O10+O11+O12</f>
        <v>-722219.0</v>
      </c>
      <c r="P13">
        <f>P10+P11+P12</f>
        <v>-763148.0</v>
      </c>
      <c r="Q13">
        <f>Q10+Q11+Q12</f>
        <v>-805383.0</v>
      </c>
      <c r="R13">
        <f>R10+R11+R12</f>
        <v>-849009.0</v>
      </c>
      <c r="S13">
        <f>S10+S11+S12</f>
        <v>-894114.0</v>
      </c>
      <c r="T13">
        <f>T10+T11+T12</f>
        <v>-940836.0</v>
      </c>
      <c r="U13">
        <f>U10+U11+U12</f>
        <v>-989319.0</v>
      </c>
      <c r="V13">
        <f>V10+V11+V12</f>
        <v>-1039659.0</v>
      </c>
      <c r="W13">
        <f>W10+W11+W12</f>
        <v>-1091995.0</v>
      </c>
      <c r="X13">
        <f>X10+X11+X12</f>
        <v>-1146495.0</v>
      </c>
      <c r="Y13">
        <f>Y10+Y11+Y12</f>
        <v>-1203322.0</v>
      </c>
      <c r="Z13">
        <f>Z10+Z11+Z12</f>
        <v>-1262671.0</v>
      </c>
      <c r="AA13">
        <f>SUM(C13:Z13)</f>
        <v>-17545720.0</v>
      </c>
    </row>
    <row r="15">
      <c r="A15" t="inlineStr">
        <is>
          <t>EBITDA</t>
        </is>
      </c>
      <c r="C15">
        <f>C7+C13</f>
        <v>383627.0</v>
      </c>
      <c r="D15">
        <f>D7+D13</f>
        <v>405097.0</v>
      </c>
      <c r="E15">
        <f>E7+E13</f>
        <v>429902.0</v>
      </c>
      <c r="F15">
        <f>F7+F13</f>
        <v>458380.0</v>
      </c>
      <c r="G15">
        <f>G7+G13</f>
        <v>490908.0</v>
      </c>
      <c r="H15">
        <f>H7+H13</f>
        <v>527737.0</v>
      </c>
      <c r="I15">
        <f>I7+I13</f>
        <v>569133.0</v>
      </c>
      <c r="J15">
        <f>J7+J13</f>
        <v>615595.0</v>
      </c>
      <c r="K15">
        <f>K7+K13</f>
        <v>667400.0</v>
      </c>
      <c r="L15">
        <f>L7+L13</f>
        <v>724911.0</v>
      </c>
      <c r="M15">
        <f>M7+M13</f>
        <v>788669.0</v>
      </c>
      <c r="N15">
        <f>N7+N13</f>
        <v>859066.0</v>
      </c>
      <c r="O15">
        <f>O7+O13</f>
        <v>936678.0</v>
      </c>
      <c r="P15">
        <f>P7+P13</f>
        <v>1021976.0</v>
      </c>
      <c r="Q15">
        <f>Q7+Q13</f>
        <v>1115670.0</v>
      </c>
      <c r="R15">
        <f>R7+R13</f>
        <v>1218290.0</v>
      </c>
      <c r="S15">
        <f>S7+S13</f>
        <v>1330421.0</v>
      </c>
      <c r="T15">
        <f>T7+T13</f>
        <v>1452927.0</v>
      </c>
      <c r="U15">
        <f>U7+U13</f>
        <v>1586758.0</v>
      </c>
      <c r="V15">
        <f>V7+V13</f>
        <v>1732515.0</v>
      </c>
      <c r="W15">
        <f>W7+W13</f>
        <v>1891090.0</v>
      </c>
      <c r="X15">
        <f>X7+X13</f>
        <v>2063571.0</v>
      </c>
      <c r="Y15">
        <f>Y7+Y13</f>
        <v>2250994.0</v>
      </c>
      <c r="Z15">
        <f>Z7+Z13</f>
        <v>2454616.0</v>
      </c>
      <c r="AA15">
        <f>SUM(C15:Z15)</f>
        <v>25975931.0</v>
      </c>
    </row>
    <row r="16">
      <c r="A16" t="inlineStr">
        <is>
          <t>EBITDA margin</t>
        </is>
      </c>
      <c r="C16">
        <f>IF(C5=0,0,ROUND(C15/C5,4))</f>
        <v>0.4327</v>
      </c>
      <c r="D16">
        <f>IF(D5=0,0,ROUND(D15/D5,4))</f>
        <v>0.4245</v>
      </c>
      <c r="E16">
        <f>IF(E5=0,0,ROUND(E15/E5,4))</f>
        <v>0.4187</v>
      </c>
      <c r="F16">
        <f>IF(F5=0,0,ROUND(F15/F5,4))</f>
        <v>0.4149</v>
      </c>
      <c r="G16">
        <f>IF(G5=0,0,ROUND(G15/G5,4))</f>
        <v>0.4129</v>
      </c>
      <c r="H16">
        <f>IF(H5=0,0,ROUND(H15/H5,4))</f>
        <v>0.4125</v>
      </c>
      <c r="I16">
        <f>IF(I5=0,0,ROUND(I15/I5,4))</f>
        <v>0.4134</v>
      </c>
      <c r="J16">
        <f>IF(J5=0,0,ROUND(J15/J5,4))</f>
        <v>0.4155</v>
      </c>
      <c r="K16">
        <f>IF(K5=0,0,ROUND(K15/K5,4))</f>
        <v>0.4186</v>
      </c>
      <c r="L16">
        <f>IF(L5=0,0,ROUND(L15/L5,4))</f>
        <v>0.4225</v>
      </c>
      <c r="M16">
        <f>IF(M5=0,0,ROUND(M15/M5,4))</f>
        <v>0.4272</v>
      </c>
      <c r="N16">
        <f>IF(N5=0,0,ROUND(N15/N5,4))</f>
        <v>0.4324</v>
      </c>
      <c r="O16">
        <f>IF(O5=0,0,ROUND(O15/O5,4))</f>
        <v>0.4381</v>
      </c>
      <c r="P16">
        <f>IF(P5=0,0,ROUND(P15/P5,4))</f>
        <v>0.4442</v>
      </c>
      <c r="Q16">
        <f>IF(Q5=0,0,ROUND(Q15/Q5,4))</f>
        <v>0.4506</v>
      </c>
      <c r="R16">
        <f>IF(R5=0,0,ROUND(R15/R5,4))</f>
        <v>0.4572</v>
      </c>
      <c r="S16">
        <f>IF(S5=0,0,ROUND(S15/S5,4))</f>
        <v>0.464</v>
      </c>
      <c r="T16">
        <f>IF(T5=0,0,ROUND(T15/T5,4))</f>
        <v>0.4709</v>
      </c>
      <c r="U16">
        <f>IF(U5=0,0,ROUND(U15/U5,4))</f>
        <v>0.4779</v>
      </c>
      <c r="V16">
        <f>IF(V5=0,0,ROUND(V15/V5,4))</f>
        <v>0.4849</v>
      </c>
      <c r="W16">
        <f>IF(W5=0,0,ROUND(W15/W5,4))</f>
        <v>0.4919</v>
      </c>
      <c r="X16">
        <f>IF(X5=0,0,ROUND(X15/X5,4))</f>
        <v>0.4988</v>
      </c>
      <c r="Y16">
        <f>IF(Y5=0,0,ROUND(Y15/Y5,4))</f>
        <v>0.5056</v>
      </c>
      <c r="Z16">
        <f>IF(Z5=0,0,ROUND(Z15/Z5,4))</f>
        <v>0.5123</v>
      </c>
    </row>
    <row r="18">
      <c r="A18" t="inlineStr">
        <is>
          <t>Cumulative EBITDA</t>
        </is>
      </c>
      <c r="C18">
        <f>C15</f>
        <v>383627.0</v>
      </c>
      <c r="D18">
        <f>C18+D15</f>
        <v>788724.0</v>
      </c>
      <c r="E18">
        <f>D18+E15</f>
        <v>1218626.0</v>
      </c>
      <c r="F18">
        <f>E18+F15</f>
        <v>1677006.0</v>
      </c>
      <c r="G18">
        <f>F18+G15</f>
        <v>2167914.0</v>
      </c>
      <c r="H18">
        <f>G18+H15</f>
        <v>2695651.0</v>
      </c>
      <c r="I18">
        <f>H18+I15</f>
        <v>3264784.0</v>
      </c>
      <c r="J18">
        <f>I18+J15</f>
        <v>3880379.0</v>
      </c>
      <c r="K18">
        <f>J18+K15</f>
        <v>4547779.0</v>
      </c>
      <c r="L18">
        <f>K18+L15</f>
        <v>5272690.0</v>
      </c>
      <c r="M18">
        <f>L18+M15</f>
        <v>6061359.0</v>
      </c>
      <c r="N18">
        <f>M18+N15</f>
        <v>6920425.0</v>
      </c>
      <c r="O18">
        <f>N18+O15</f>
        <v>7857103.0</v>
      </c>
      <c r="P18">
        <f>O18+P15</f>
        <v>8879079.0</v>
      </c>
      <c r="Q18">
        <f>P18+Q15</f>
        <v>9994749.0</v>
      </c>
      <c r="R18">
        <f>Q18+R15</f>
        <v>11213039.0</v>
      </c>
      <c r="S18">
        <f>R18+S15</f>
        <v>12543460.0</v>
      </c>
      <c r="T18">
        <f>S18+T15</f>
        <v>13996387.0</v>
      </c>
      <c r="U18">
        <f>T18+U15</f>
        <v>15583145.0</v>
      </c>
      <c r="V18">
        <f>U18+V15</f>
        <v>17315660.0</v>
      </c>
      <c r="W18">
        <f>V18+W15</f>
        <v>19206750.0</v>
      </c>
      <c r="X18">
        <f>W18+X15</f>
        <v>21270321.0</v>
      </c>
      <c r="Y18">
        <f>X18+Y15</f>
        <v>23521315.0</v>
      </c>
      <c r="Z18">
        <f>Y18+Z15</f>
        <v>25975931.0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</t>
        </is>
      </c>
    </row>
    <row r="3">
      <c r="A3" t="inlineStr">
        <is>
          <t>Total revenue</t>
        </is>
      </c>
      <c r="B3">
        <f>Revenue!Z17</f>
        <v>56091833.0</v>
      </c>
    </row>
    <row r="4">
      <c r="A4" t="inlineStr">
        <is>
          <t>Total EBITDA</t>
        </is>
      </c>
      <c r="B4">
        <f>'P&amp;L'!AA15</f>
        <v>25975931.0</v>
      </c>
    </row>
    <row r="5">
      <c r="A5" t="inlineStr">
        <is>
          <t>Exit run rate EBITDA</t>
        </is>
      </c>
      <c r="B5">
        <f>SUM('P&amp;L'!O15:Z15)</f>
        <v>19055506.0</v>
      </c>
    </row>
    <row r="6">
      <c r="A6" t="inlineStr">
        <is>
          <t>EBITDA multiple</t>
        </is>
      </c>
      <c r="B6">
        <f>Assumptions!$B$21</f>
        <v>12.4</v>
      </c>
    </row>
    <row r="7">
      <c r="A7" t="inlineStr">
        <is>
          <t>Enterprise value</t>
        </is>
      </c>
      <c r="B7">
        <f>ROUND(B5*B6,0)</f>
        <v>236288274.0</v>
      </c>
    </row>
    <row r="8">
      <c r="A8" t="inlineStr">
        <is>
          <t>Net debt</t>
        </is>
      </c>
      <c r="B8">
        <f>Assumptions!$B$22</f>
        <v>4850000.0</v>
      </c>
    </row>
    <row r="9">
      <c r="A9" t="inlineStr">
        <is>
          <t>Equity value</t>
        </is>
      </c>
      <c r="B9">
        <f>B7-B8</f>
        <v>231438274.0</v>
      </c>
    </row>
    <row r="11">
      <c r="A11" t="inlineStr">
        <is>
          <t>Average monthly EBITDA</t>
        </is>
      </c>
      <c r="B11">
        <f>AVERAGE('P&amp;L'!C15:Z15)</f>
        <v>1082330.4583333333</v>
      </c>
    </row>
    <row r="12">
      <c r="A12" t="inlineStr">
        <is>
          <t>Best month</t>
        </is>
      </c>
      <c r="B12">
        <f>MAX('P&amp;L'!C15:Z15)</f>
        <v>2454616.0</v>
      </c>
    </row>
    <row r="13">
      <c r="A13" t="inlineStr">
        <is>
          <t>Worst month</t>
        </is>
      </c>
      <c r="B13">
        <f>MIN('P&amp;L'!C15:Z15)</f>
        <v>383627.0</v>
      </c>
    </row>
    <row r="14">
      <c r="A14" t="inlineStr">
        <is>
          <t>Sum of positive months</t>
        </is>
      </c>
      <c r="B14">
        <f>SUMIF('P&amp;L'!C15:Z15,"&gt;0")</f>
        <v>25975931.0</v>
      </c>
    </row>
    <row r="15">
      <c r="A15" t="inlineStr">
        <is>
          <t>Best to worst swing</t>
        </is>
      </c>
      <c r="B15">
        <f>ABS(B12-B13)</f>
        <v>2070989.0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materia</dc:creator>
  <dcterms:created xsi:type="dcterms:W3CDTF">1980-01-01T00:00:00Z</dcterms:created>
  <dcterms:modified xsi:type="dcterms:W3CDTF">1980-01-01T00:00:00Z</dcterms:modified>
  <cp:lastModifiedBy>materia</cp:lastModifiedBy>
</cp:coreProperties>
</file>