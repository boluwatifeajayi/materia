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6700</v>
      </c>
    </row>
    <row r="5">
      <c r="A5" t="inlineStr">
        <is>
          <t>Monthly new customer rate</t>
        </is>
      </c>
      <c r="B5" t="n">
        <v>0.0525</v>
      </c>
    </row>
    <row r="6">
      <c r="A6" t="inlineStr">
        <is>
          <t>Monthly churn rate</t>
        </is>
      </c>
      <c r="B6" t="n">
        <v>0.0273</v>
      </c>
    </row>
    <row r="7">
      <c r="A7" t="inlineStr">
        <is>
          <t>Opening ARPU</t>
        </is>
      </c>
      <c r="B7" t="n">
        <v>92.11</v>
      </c>
    </row>
    <row r="8">
      <c r="A8" t="inlineStr">
        <is>
          <t>Monthly ARPU uplift</t>
        </is>
      </c>
      <c r="B8" t="n">
        <v>0.0045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0.2305</v>
      </c>
    </row>
    <row r="12">
      <c r="A12" t="inlineStr">
        <is>
          <t>Opening headcount</t>
        </is>
      </c>
      <c r="B12" t="n">
        <v>21</v>
      </c>
    </row>
    <row r="13">
      <c r="A13" t="inlineStr">
        <is>
          <t>New hires per month</t>
        </is>
      </c>
      <c r="B13" t="n">
        <v>1</v>
      </c>
    </row>
    <row r="14">
      <c r="A14" t="inlineStr">
        <is>
          <t>Average salary</t>
        </is>
      </c>
      <c r="B14" t="n">
        <v>83500</v>
      </c>
    </row>
    <row r="15">
      <c r="A15" t="inlineStr">
        <is>
          <t>Payroll tax rate</t>
        </is>
      </c>
      <c r="B15" t="n">
        <v>0.122</v>
      </c>
    </row>
    <row r="16">
      <c r="A16" t="inlineStr">
        <is>
          <t>Marketing as share of revenue</t>
        </is>
      </c>
      <c r="B16" t="n">
        <v>0.1258</v>
      </c>
    </row>
    <row r="17">
      <c r="A17" t="inlineStr">
        <is>
          <t>Monthly overhead</t>
        </is>
      </c>
      <c r="B17" t="n">
        <v>33500</v>
      </c>
    </row>
    <row r="18">
      <c r="A18" t="inlineStr">
        <is>
          <t>Monthly overhead inflation</t>
        </is>
      </c>
      <c r="B18" t="n">
        <v>0.004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8.300000000000001</v>
      </c>
    </row>
    <row r="22">
      <c r="A22" t="inlineStr">
        <is>
          <t>Net debt</t>
        </is>
      </c>
      <c r="B22" t="n">
        <v>2350000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6700.0</v>
      </c>
      <c r="D5">
        <f>C9</f>
        <v>6869.0</v>
      </c>
      <c r="E5">
        <f>D9</f>
        <v>7042.0</v>
      </c>
      <c r="F5">
        <f>E9</f>
        <v>7220.0</v>
      </c>
      <c r="G5">
        <f>F9</f>
        <v>7402.0</v>
      </c>
      <c r="H5">
        <f>G9</f>
        <v>7589.0</v>
      </c>
      <c r="I5">
        <f>H9</f>
        <v>7780.0</v>
      </c>
      <c r="J5">
        <f>I9</f>
        <v>7976.0</v>
      </c>
      <c r="K5">
        <f>J9</f>
        <v>8177.0</v>
      </c>
      <c r="L5">
        <f>K9</f>
        <v>8383.0</v>
      </c>
      <c r="M5">
        <f>L9</f>
        <v>8594.0</v>
      </c>
      <c r="N5">
        <f>M9</f>
        <v>8810.0</v>
      </c>
      <c r="O5">
        <f>N9</f>
        <v>9032.0</v>
      </c>
      <c r="P5">
        <f>O9</f>
        <v>9259.0</v>
      </c>
      <c r="Q5">
        <f>P9</f>
        <v>9492.0</v>
      </c>
      <c r="R5">
        <f>Q9</f>
        <v>9731.0</v>
      </c>
      <c r="S5">
        <f>R9</f>
        <v>9976.0</v>
      </c>
      <c r="T5">
        <f>S9</f>
        <v>10228.0</v>
      </c>
      <c r="U5">
        <f>T9</f>
        <v>10486.0</v>
      </c>
      <c r="V5">
        <f>U9</f>
        <v>10751.0</v>
      </c>
      <c r="W5">
        <f>V9</f>
        <v>11021.0</v>
      </c>
      <c r="X5">
        <f>W9</f>
        <v>11299.0</v>
      </c>
      <c r="Y5">
        <f>X9</f>
        <v>11584.0</v>
      </c>
      <c r="Z5">
        <f>Y9</f>
        <v>11876.0</v>
      </c>
    </row>
    <row r="6">
      <c r="A6" t="inlineStr">
        <is>
          <t>New customers</t>
        </is>
      </c>
      <c r="C6">
        <f>ROUND(C5*Assumptions!$B$5,0)</f>
        <v>352.0</v>
      </c>
      <c r="D6">
        <f>ROUND(D5*Assumptions!$B$5,0)</f>
        <v>361.0</v>
      </c>
      <c r="E6">
        <f>ROUND(E5*Assumptions!$B$5,0)</f>
        <v>370.0</v>
      </c>
      <c r="F6">
        <f>ROUND(F5*Assumptions!$B$5,0)</f>
        <v>379.0</v>
      </c>
      <c r="G6">
        <f>ROUND(G5*Assumptions!$B$5,0)</f>
        <v>389.0</v>
      </c>
      <c r="H6">
        <f>ROUND(H5*Assumptions!$B$5,0)</f>
        <v>398.0</v>
      </c>
      <c r="I6">
        <f>ROUND(I5*Assumptions!$B$5,0)</f>
        <v>408.0</v>
      </c>
      <c r="J6">
        <f>ROUND(J5*Assumptions!$B$5,0)</f>
        <v>419.0</v>
      </c>
      <c r="K6">
        <f>ROUND(K5*Assumptions!$B$5,0)</f>
        <v>429.0</v>
      </c>
      <c r="L6">
        <f>ROUND(L5*Assumptions!$B$5,0)</f>
        <v>440.0</v>
      </c>
      <c r="M6">
        <f>ROUND(M5*Assumptions!$B$5,0)</f>
        <v>451.0</v>
      </c>
      <c r="N6">
        <f>ROUND(N5*Assumptions!$B$5,0)</f>
        <v>463.0</v>
      </c>
      <c r="O6">
        <f>ROUND(O5*Assumptions!$B$5,0)</f>
        <v>474.0</v>
      </c>
      <c r="P6">
        <f>ROUND(P5*Assumptions!$B$5,0)</f>
        <v>486.0</v>
      </c>
      <c r="Q6">
        <f>ROUND(Q5*Assumptions!$B$5,0)</f>
        <v>498.0</v>
      </c>
      <c r="R6">
        <f>ROUND(R5*Assumptions!$B$5,0)</f>
        <v>511.0</v>
      </c>
      <c r="S6">
        <f>ROUND(S5*Assumptions!$B$5,0)</f>
        <v>524.0</v>
      </c>
      <c r="T6">
        <f>ROUND(T5*Assumptions!$B$5,0)</f>
        <v>537.0</v>
      </c>
      <c r="U6">
        <f>ROUND(U5*Assumptions!$B$5,0)</f>
        <v>551.0</v>
      </c>
      <c r="V6">
        <f>ROUND(V5*Assumptions!$B$5,0)</f>
        <v>564.0</v>
      </c>
      <c r="W6">
        <f>ROUND(W5*Assumptions!$B$5,0)</f>
        <v>579.0</v>
      </c>
      <c r="X6">
        <f>ROUND(X5*Assumptions!$B$5,0)</f>
        <v>593.0</v>
      </c>
      <c r="Y6">
        <f>ROUND(Y5*Assumptions!$B$5,0)</f>
        <v>608.0</v>
      </c>
      <c r="Z6">
        <f>ROUND(Z5*Assumptions!$B$5,0)</f>
        <v>623.0</v>
      </c>
    </row>
    <row r="7">
      <c r="A7" t="inlineStr">
        <is>
          <t>Churned customers</t>
        </is>
      </c>
      <c r="C7">
        <f>-ROUND(C5*Assumptions!$B$6,0)</f>
        <v>-183.0</v>
      </c>
      <c r="D7">
        <f>-ROUND(D5*Assumptions!$B$6,0)</f>
        <v>-188.0</v>
      </c>
      <c r="E7">
        <f>-ROUND(E5*Assumptions!$B$6,0)</f>
        <v>-192.0</v>
      </c>
      <c r="F7">
        <f>-ROUND(F5*Assumptions!$B$6,0)</f>
        <v>-197.0</v>
      </c>
      <c r="G7">
        <f>-ROUND(G5*Assumptions!$B$6,0)</f>
        <v>-202.0</v>
      </c>
      <c r="H7">
        <f>-ROUND(H5*Assumptions!$B$6,0)</f>
        <v>-207.0</v>
      </c>
      <c r="I7">
        <f>-ROUND(I5*Assumptions!$B$6,0)</f>
        <v>-212.0</v>
      </c>
      <c r="J7">
        <f>-ROUND(J5*Assumptions!$B$6,0)</f>
        <v>-218.0</v>
      </c>
      <c r="K7">
        <f>-ROUND(K5*Assumptions!$B$6,0)</f>
        <v>-223.0</v>
      </c>
      <c r="L7">
        <f>-ROUND(L5*Assumptions!$B$6,0)</f>
        <v>-229.0</v>
      </c>
      <c r="M7">
        <f>-ROUND(M5*Assumptions!$B$6,0)</f>
        <v>-235.0</v>
      </c>
      <c r="N7">
        <f>-ROUND(N5*Assumptions!$B$6,0)</f>
        <v>-241.0</v>
      </c>
      <c r="O7">
        <f>-ROUND(O5*Assumptions!$B$6,0)</f>
        <v>-247.0</v>
      </c>
      <c r="P7">
        <f>-ROUND(P5*Assumptions!$B$6,0)</f>
        <v>-253.0</v>
      </c>
      <c r="Q7">
        <f>-ROUND(Q5*Assumptions!$B$6,0)</f>
        <v>-259.0</v>
      </c>
      <c r="R7">
        <f>-ROUND(R5*Assumptions!$B$6,0)</f>
        <v>-266.0</v>
      </c>
      <c r="S7">
        <f>-ROUND(S5*Assumptions!$B$6,0)</f>
        <v>-272.0</v>
      </c>
      <c r="T7">
        <f>-ROUND(T5*Assumptions!$B$6,0)</f>
        <v>-279.0</v>
      </c>
      <c r="U7">
        <f>-ROUND(U5*Assumptions!$B$6,0)</f>
        <v>-286.0</v>
      </c>
      <c r="V7">
        <f>-ROUND(V5*Assumptions!$B$6,0)</f>
        <v>-294.0</v>
      </c>
      <c r="W7">
        <f>-ROUND(W5*Assumptions!$B$6,0)</f>
        <v>-301.0</v>
      </c>
      <c r="X7">
        <f>-ROUND(X5*Assumptions!$B$6,0)</f>
        <v>-308.0</v>
      </c>
      <c r="Y7">
        <f>-ROUND(Y5*Assumptions!$B$6,0)</f>
        <v>-316.0</v>
      </c>
      <c r="Z7">
        <f>-ROUND(Z5*Assumptions!$B$6,0)</f>
        <v>-324.0</v>
      </c>
    </row>
    <row r="9">
      <c r="A9" t="inlineStr">
        <is>
          <t>Closing customers</t>
        </is>
      </c>
      <c r="C9">
        <f>C5+C6+C7</f>
        <v>6869.0</v>
      </c>
      <c r="D9">
        <f>D5+D6+D7</f>
        <v>7042.0</v>
      </c>
      <c r="E9">
        <f>E5+E6+E7</f>
        <v>7220.0</v>
      </c>
      <c r="F9">
        <f>F5+F6+F7</f>
        <v>7402.0</v>
      </c>
      <c r="G9">
        <f>G5+G6+G7</f>
        <v>7589.0</v>
      </c>
      <c r="H9">
        <f>H5+H6+H7</f>
        <v>7780.0</v>
      </c>
      <c r="I9">
        <f>I5+I6+I7</f>
        <v>7976.0</v>
      </c>
      <c r="J9">
        <f>J5+J6+J7</f>
        <v>8177.0</v>
      </c>
      <c r="K9">
        <f>K5+K6+K7</f>
        <v>8383.0</v>
      </c>
      <c r="L9">
        <f>L5+L6+L7</f>
        <v>8594.0</v>
      </c>
      <c r="M9">
        <f>M5+M6+M7</f>
        <v>8810.0</v>
      </c>
      <c r="N9">
        <f>N5+N6+N7</f>
        <v>9032.0</v>
      </c>
      <c r="O9">
        <f>O5+O6+O7</f>
        <v>9259.0</v>
      </c>
      <c r="P9">
        <f>P5+P6+P7</f>
        <v>9492.0</v>
      </c>
      <c r="Q9">
        <f>Q5+Q6+Q7</f>
        <v>9731.0</v>
      </c>
      <c r="R9">
        <f>R5+R6+R7</f>
        <v>9976.0</v>
      </c>
      <c r="S9">
        <f>S5+S6+S7</f>
        <v>10228.0</v>
      </c>
      <c r="T9">
        <f>T5+T6+T7</f>
        <v>10486.0</v>
      </c>
      <c r="U9">
        <f>U5+U6+U7</f>
        <v>10751.0</v>
      </c>
      <c r="V9">
        <f>V5+V6+V7</f>
        <v>11021.0</v>
      </c>
      <c r="W9">
        <f>W5+W6+W7</f>
        <v>11299.0</v>
      </c>
      <c r="X9">
        <f>X5+X6+X7</f>
        <v>11584.0</v>
      </c>
      <c r="Y9">
        <f>Y5+Y6+Y7</f>
        <v>11876.0</v>
      </c>
      <c r="Z9">
        <f>Z5+Z6+Z7</f>
        <v>12175.0</v>
      </c>
    </row>
    <row r="11">
      <c r="A11" t="inlineStr">
        <is>
          <t>ARPU</t>
        </is>
      </c>
      <c r="C11">
        <f>Assumptions!$B$7</f>
        <v>92.11</v>
      </c>
      <c r="D11">
        <f>ROUND(C11*(1+Assumptions!$B$8),2)</f>
        <v>92.52</v>
      </c>
      <c r="E11">
        <f>ROUND(D11*(1+Assumptions!$B$8),2)</f>
        <v>92.94</v>
      </c>
      <c r="F11">
        <f>ROUND(E11*(1+Assumptions!$B$8),2)</f>
        <v>93.36</v>
      </c>
      <c r="G11">
        <f>ROUND(F11*(1+Assumptions!$B$8),2)</f>
        <v>93.78</v>
      </c>
      <c r="H11">
        <f>ROUND(G11*(1+Assumptions!$B$8),2)</f>
        <v>94.2</v>
      </c>
      <c r="I11">
        <f>ROUND(H11*(1+Assumptions!$B$8),2)</f>
        <v>94.62</v>
      </c>
      <c r="J11">
        <f>ROUND(I11*(1+Assumptions!$B$8),2)</f>
        <v>95.05</v>
      </c>
      <c r="K11">
        <f>ROUND(J11*(1+Assumptions!$B$8),2)</f>
        <v>95.48</v>
      </c>
      <c r="L11">
        <f>ROUND(K11*(1+Assumptions!$B$8),2)</f>
        <v>95.91</v>
      </c>
      <c r="M11">
        <f>ROUND(L11*(1+Assumptions!$B$8),2)</f>
        <v>96.34</v>
      </c>
      <c r="N11">
        <f>ROUND(M11*(1+Assumptions!$B$8),2)</f>
        <v>96.77</v>
      </c>
      <c r="O11">
        <f>ROUND(N11*(1+Assumptions!$B$8),2)</f>
        <v>97.21</v>
      </c>
      <c r="P11">
        <f>ROUND(O11*(1+Assumptions!$B$8),2)</f>
        <v>97.65</v>
      </c>
      <c r="Q11">
        <f>ROUND(P11*(1+Assumptions!$B$8),2)</f>
        <v>98.09</v>
      </c>
      <c r="R11">
        <f>ROUND(Q11*(1+Assumptions!$B$8),2)</f>
        <v>98.53</v>
      </c>
      <c r="S11">
        <f>ROUND(R11*(1+Assumptions!$B$8),2)</f>
        <v>98.97</v>
      </c>
      <c r="T11">
        <f>ROUND(S11*(1+Assumptions!$B$8),2)</f>
        <v>99.42</v>
      </c>
      <c r="U11">
        <f>ROUND(T11*(1+Assumptions!$B$8),2)</f>
        <v>99.87</v>
      </c>
      <c r="V11">
        <f>ROUND(U11*(1+Assumptions!$B$8),2)</f>
        <v>100.32</v>
      </c>
      <c r="W11">
        <f>ROUND(V11*(1+Assumptions!$B$8),2)</f>
        <v>100.77</v>
      </c>
      <c r="X11">
        <f>ROUND(W11*(1+Assumptions!$B$8),2)</f>
        <v>101.22</v>
      </c>
      <c r="Y11">
        <f>ROUND(X11*(1+Assumptions!$B$8),2)</f>
        <v>101.68</v>
      </c>
      <c r="Z11">
        <f>ROUND(Y11*(1+Assumptions!$B$8),2)</f>
        <v>102.14</v>
      </c>
    </row>
    <row r="13">
      <c r="A13" t="inlineStr">
        <is>
          <t>Average customers</t>
        </is>
      </c>
      <c r="C13">
        <f>ROUND((C5+C9)/2,0)</f>
        <v>6785.0</v>
      </c>
      <c r="D13">
        <f>ROUND((D5+D9)/2,0)</f>
        <v>6956.0</v>
      </c>
      <c r="E13">
        <f>ROUND((E5+E9)/2,0)</f>
        <v>7131.0</v>
      </c>
      <c r="F13">
        <f>ROUND((F5+F9)/2,0)</f>
        <v>7311.0</v>
      </c>
      <c r="G13">
        <f>ROUND((G5+G9)/2,0)</f>
        <v>7496.0</v>
      </c>
      <c r="H13">
        <f>ROUND((H5+H9)/2,0)</f>
        <v>7685.0</v>
      </c>
      <c r="I13">
        <f>ROUND((I5+I9)/2,0)</f>
        <v>7878.0</v>
      </c>
      <c r="J13">
        <f>ROUND((J5+J9)/2,0)</f>
        <v>8077.0</v>
      </c>
      <c r="K13">
        <f>ROUND((K5+K9)/2,0)</f>
        <v>8280.0</v>
      </c>
      <c r="L13">
        <f>ROUND((L5+L9)/2,0)</f>
        <v>8489.0</v>
      </c>
      <c r="M13">
        <f>ROUND((M5+M9)/2,0)</f>
        <v>8702.0</v>
      </c>
      <c r="N13">
        <f>ROUND((N5+N9)/2,0)</f>
        <v>8921.0</v>
      </c>
      <c r="O13">
        <f>ROUND((O5+O9)/2,0)</f>
        <v>9146.0</v>
      </c>
      <c r="P13">
        <f>ROUND((P5+P9)/2,0)</f>
        <v>9376.0</v>
      </c>
      <c r="Q13">
        <f>ROUND((Q5+Q9)/2,0)</f>
        <v>9612.0</v>
      </c>
      <c r="R13">
        <f>ROUND((R5+R9)/2,0)</f>
        <v>9854.0</v>
      </c>
      <c r="S13">
        <f>ROUND((S5+S9)/2,0)</f>
        <v>10102.0</v>
      </c>
      <c r="T13">
        <f>ROUND((T5+T9)/2,0)</f>
        <v>10357.0</v>
      </c>
      <c r="U13">
        <f>ROUND((U5+U9)/2,0)</f>
        <v>10619.0</v>
      </c>
      <c r="V13">
        <f>ROUND((V5+V9)/2,0)</f>
        <v>10886.0</v>
      </c>
      <c r="W13">
        <f>ROUND((W5+W9)/2,0)</f>
        <v>11160.0</v>
      </c>
      <c r="X13">
        <f>ROUND((X5+X9)/2,0)</f>
        <v>11442.0</v>
      </c>
      <c r="Y13">
        <f>ROUND((Y5+Y9)/2,0)</f>
        <v>11730.0</v>
      </c>
      <c r="Z13">
        <f>ROUND((Z5+Z9)/2,0)</f>
        <v>12026.0</v>
      </c>
    </row>
    <row r="15">
      <c r="A15" t="inlineStr">
        <is>
          <t>Revenue</t>
        </is>
      </c>
      <c r="C15">
        <f>ROUND(C13*C11,0)</f>
        <v>624966.0</v>
      </c>
      <c r="D15">
        <f>ROUND(D13*D11,0)</f>
        <v>643569.0</v>
      </c>
      <c r="E15">
        <f>ROUND(E13*E11,0)</f>
        <v>662755.0</v>
      </c>
      <c r="F15">
        <f>ROUND(F13*F11,0)</f>
        <v>682555.0</v>
      </c>
      <c r="G15">
        <f>ROUND(G13*G11,0)</f>
        <v>702975.0</v>
      </c>
      <c r="H15">
        <f>ROUND(H13*H11,0)</f>
        <v>723927.0</v>
      </c>
      <c r="I15">
        <f>ROUND(I13*I11,0)</f>
        <v>745416.0</v>
      </c>
      <c r="J15">
        <f>ROUND(J13*J11,0)</f>
        <v>767719.0</v>
      </c>
      <c r="K15">
        <f>ROUND(K13*K11,0)</f>
        <v>790574.0</v>
      </c>
      <c r="L15">
        <f>ROUND(L13*L11,0)</f>
        <v>814180.0</v>
      </c>
      <c r="M15">
        <f>ROUND(M13*M11,0)</f>
        <v>838351.0</v>
      </c>
      <c r="N15">
        <f>ROUND(N13*N11,0)</f>
        <v>863285.0</v>
      </c>
      <c r="O15">
        <f>ROUND(O13*O11,0)</f>
        <v>889083.0</v>
      </c>
      <c r="P15">
        <f>ROUND(P13*P11,0)</f>
        <v>915566.0</v>
      </c>
      <c r="Q15">
        <f>ROUND(Q13*Q11,0)</f>
        <v>942841.0</v>
      </c>
      <c r="R15">
        <f>ROUND(R13*R11,0)</f>
        <v>970915.0</v>
      </c>
      <c r="S15">
        <f>ROUND(S13*S11,0)</f>
        <v>999795.0</v>
      </c>
      <c r="T15">
        <f>ROUND(T13*T11,0)</f>
        <v>1029693.0</v>
      </c>
      <c r="U15">
        <f>ROUND(U13*U11,0)</f>
        <v>1060520.0</v>
      </c>
      <c r="V15">
        <f>ROUND(V13*V11,0)</f>
        <v>1092084.0</v>
      </c>
      <c r="W15">
        <f>ROUND(W13*W11,0)</f>
        <v>1124593.0</v>
      </c>
      <c r="X15">
        <f>ROUND(X13*X11,0)</f>
        <v>1158159.0</v>
      </c>
      <c r="Y15">
        <f>ROUND(Y13*Y11,0)</f>
        <v>1192706.0</v>
      </c>
      <c r="Z15">
        <f>ROUND(Z13*Z11,0)</f>
        <v>1228336.0</v>
      </c>
    </row>
    <row r="17">
      <c r="A17" t="inlineStr">
        <is>
          <t>Cumulative revenue</t>
        </is>
      </c>
      <c r="C17">
        <f>C15</f>
        <v>624966.0</v>
      </c>
      <c r="D17">
        <f>C17+D15</f>
        <v>1268535.0</v>
      </c>
      <c r="E17">
        <f>D17+E15</f>
        <v>1931290.0</v>
      </c>
      <c r="F17">
        <f>E17+F15</f>
        <v>2613845.0</v>
      </c>
      <c r="G17">
        <f>F17+G15</f>
        <v>3316820.0</v>
      </c>
      <c r="H17">
        <f>G17+H15</f>
        <v>4040747.0</v>
      </c>
      <c r="I17">
        <f>H17+I15</f>
        <v>4786163.0</v>
      </c>
      <c r="J17">
        <f>I17+J15</f>
        <v>5553882.0</v>
      </c>
      <c r="K17">
        <f>J17+K15</f>
        <v>6344456.0</v>
      </c>
      <c r="L17">
        <f>K17+L15</f>
        <v>7158636.0</v>
      </c>
      <c r="M17">
        <f>L17+M15</f>
        <v>7996987.0</v>
      </c>
      <c r="N17">
        <f>M17+N15</f>
        <v>8860272.0</v>
      </c>
      <c r="O17">
        <f>N17+O15</f>
        <v>9749355.0</v>
      </c>
      <c r="P17">
        <f>O17+P15</f>
        <v>10664921.0</v>
      </c>
      <c r="Q17">
        <f>P17+Q15</f>
        <v>11607762.0</v>
      </c>
      <c r="R17">
        <f>Q17+R15</f>
        <v>12578677.0</v>
      </c>
      <c r="S17">
        <f>R17+S15</f>
        <v>13578472.0</v>
      </c>
      <c r="T17">
        <f>S17+T15</f>
        <v>14608165.0</v>
      </c>
      <c r="U17">
        <f>T17+U15</f>
        <v>15668685.0</v>
      </c>
      <c r="V17">
        <f>U17+V15</f>
        <v>16760769.0</v>
      </c>
      <c r="W17">
        <f>V17+W15</f>
        <v>17885362.0</v>
      </c>
      <c r="X17">
        <f>W17+X15</f>
        <v>19043521.0</v>
      </c>
      <c r="Y17">
        <f>X17+Y15</f>
        <v>20236227.0</v>
      </c>
      <c r="Z17">
        <f>Y17+Z15</f>
        <v>21464563.0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21.0</v>
      </c>
      <c r="D5">
        <f>C5+Assumptions!$B$13</f>
        <v>22.0</v>
      </c>
      <c r="E5">
        <f>D5+Assumptions!$B$13</f>
        <v>23.0</v>
      </c>
      <c r="F5">
        <f>E5+Assumptions!$B$13</f>
        <v>24.0</v>
      </c>
      <c r="G5">
        <f>F5+Assumptions!$B$13</f>
        <v>25.0</v>
      </c>
      <c r="H5">
        <f>G5+Assumptions!$B$13</f>
        <v>26.0</v>
      </c>
      <c r="I5">
        <f>H5+Assumptions!$B$13</f>
        <v>27.0</v>
      </c>
      <c r="J5">
        <f>I5+Assumptions!$B$13</f>
        <v>28.0</v>
      </c>
      <c r="K5">
        <f>J5+Assumptions!$B$13</f>
        <v>29.0</v>
      </c>
      <c r="L5">
        <f>K5+Assumptions!$B$13</f>
        <v>30.0</v>
      </c>
      <c r="M5">
        <f>L5+Assumptions!$B$13</f>
        <v>31.0</v>
      </c>
      <c r="N5">
        <f>M5+Assumptions!$B$13</f>
        <v>32.0</v>
      </c>
      <c r="O5">
        <f>N5+Assumptions!$B$13</f>
        <v>33.0</v>
      </c>
      <c r="P5">
        <f>O5+Assumptions!$B$13</f>
        <v>34.0</v>
      </c>
      <c r="Q5">
        <f>P5+Assumptions!$B$13</f>
        <v>35.0</v>
      </c>
      <c r="R5">
        <f>Q5+Assumptions!$B$13</f>
        <v>36.0</v>
      </c>
      <c r="S5">
        <f>R5+Assumptions!$B$13</f>
        <v>37.0</v>
      </c>
      <c r="T5">
        <f>S5+Assumptions!$B$13</f>
        <v>38.0</v>
      </c>
      <c r="U5">
        <f>T5+Assumptions!$B$13</f>
        <v>39.0</v>
      </c>
      <c r="V5">
        <f>U5+Assumptions!$B$13</f>
        <v>40.0</v>
      </c>
      <c r="W5">
        <f>V5+Assumptions!$B$13</f>
        <v>41.0</v>
      </c>
      <c r="X5">
        <f>W5+Assumptions!$B$13</f>
        <v>42.0</v>
      </c>
      <c r="Y5">
        <f>X5+Assumptions!$B$13</f>
        <v>43.0</v>
      </c>
      <c r="Z5">
        <f>Y5+Assumptions!$B$13</f>
        <v>44.0</v>
      </c>
    </row>
    <row r="6">
      <c r="A6" t="inlineStr">
        <is>
          <t>Salary cost</t>
        </is>
      </c>
      <c r="C6">
        <f>ROUND(C5*Assumptions!$B$14/12,0)</f>
        <v>146125.0</v>
      </c>
      <c r="D6">
        <f>ROUND(D5*Assumptions!$B$14/12,0)</f>
        <v>153083.0</v>
      </c>
      <c r="E6">
        <f>ROUND(E5*Assumptions!$B$14/12,0)</f>
        <v>160042.0</v>
      </c>
      <c r="F6">
        <f>ROUND(F5*Assumptions!$B$14/12,0)</f>
        <v>167000.0</v>
      </c>
      <c r="G6">
        <f>ROUND(G5*Assumptions!$B$14/12,0)</f>
        <v>173958.0</v>
      </c>
      <c r="H6">
        <f>ROUND(H5*Assumptions!$B$14/12,0)</f>
        <v>180917.0</v>
      </c>
      <c r="I6">
        <f>ROUND(I5*Assumptions!$B$14/12,0)</f>
        <v>187875.0</v>
      </c>
      <c r="J6">
        <f>ROUND(J5*Assumptions!$B$14/12,0)</f>
        <v>194833.0</v>
      </c>
      <c r="K6">
        <f>ROUND(K5*Assumptions!$B$14/12,0)</f>
        <v>201792.0</v>
      </c>
      <c r="L6">
        <f>ROUND(L5*Assumptions!$B$14/12,0)</f>
        <v>208750.0</v>
      </c>
      <c r="M6">
        <f>ROUND(M5*Assumptions!$B$14/12,0)</f>
        <v>215708.0</v>
      </c>
      <c r="N6">
        <f>ROUND(N5*Assumptions!$B$14/12,0)</f>
        <v>222667.0</v>
      </c>
      <c r="O6">
        <f>ROUND(O5*Assumptions!$B$14/12,0)</f>
        <v>229625.0</v>
      </c>
      <c r="P6">
        <f>ROUND(P5*Assumptions!$B$14/12,0)</f>
        <v>236583.0</v>
      </c>
      <c r="Q6">
        <f>ROUND(Q5*Assumptions!$B$14/12,0)</f>
        <v>243542.0</v>
      </c>
      <c r="R6">
        <f>ROUND(R5*Assumptions!$B$14/12,0)</f>
        <v>250500.0</v>
      </c>
      <c r="S6">
        <f>ROUND(S5*Assumptions!$B$14/12,0)</f>
        <v>257458.0</v>
      </c>
      <c r="T6">
        <f>ROUND(T5*Assumptions!$B$14/12,0)</f>
        <v>264417.0</v>
      </c>
      <c r="U6">
        <f>ROUND(U5*Assumptions!$B$14/12,0)</f>
        <v>271375.0</v>
      </c>
      <c r="V6">
        <f>ROUND(V5*Assumptions!$B$14/12,0)</f>
        <v>278333.0</v>
      </c>
      <c r="W6">
        <f>ROUND(W5*Assumptions!$B$14/12,0)</f>
        <v>285292.0</v>
      </c>
      <c r="X6">
        <f>ROUND(X5*Assumptions!$B$14/12,0)</f>
        <v>292250.0</v>
      </c>
      <c r="Y6">
        <f>ROUND(Y5*Assumptions!$B$14/12,0)</f>
        <v>299208.0</v>
      </c>
      <c r="Z6">
        <f>ROUND(Z5*Assumptions!$B$14/12,0)</f>
        <v>306167.0</v>
      </c>
    </row>
    <row r="7">
      <c r="A7" t="inlineStr">
        <is>
          <t>Payroll tax</t>
        </is>
      </c>
      <c r="C7">
        <f>ROUND(C6*Assumptions!$B$15,0)</f>
        <v>17827.0</v>
      </c>
      <c r="D7">
        <f>ROUND(D6*Assumptions!$B$15,0)</f>
        <v>18676.0</v>
      </c>
      <c r="E7">
        <f>ROUND(E6*Assumptions!$B$15,0)</f>
        <v>19525.0</v>
      </c>
      <c r="F7">
        <f>ROUND(F6*Assumptions!$B$15,0)</f>
        <v>20374.0</v>
      </c>
      <c r="G7">
        <f>ROUND(G6*Assumptions!$B$15,0)</f>
        <v>21223.0</v>
      </c>
      <c r="H7">
        <f>ROUND(H6*Assumptions!$B$15,0)</f>
        <v>22072.0</v>
      </c>
      <c r="I7">
        <f>ROUND(I6*Assumptions!$B$15,0)</f>
        <v>22921.0</v>
      </c>
      <c r="J7">
        <f>ROUND(J6*Assumptions!$B$15,0)</f>
        <v>23770.0</v>
      </c>
      <c r="K7">
        <f>ROUND(K6*Assumptions!$B$15,0)</f>
        <v>24619.0</v>
      </c>
      <c r="L7">
        <f>ROUND(L6*Assumptions!$B$15,0)</f>
        <v>25468.0</v>
      </c>
      <c r="M7">
        <f>ROUND(M6*Assumptions!$B$15,0)</f>
        <v>26316.0</v>
      </c>
      <c r="N7">
        <f>ROUND(N6*Assumptions!$B$15,0)</f>
        <v>27165.0</v>
      </c>
      <c r="O7">
        <f>ROUND(O6*Assumptions!$B$15,0)</f>
        <v>28014.0</v>
      </c>
      <c r="P7">
        <f>ROUND(P6*Assumptions!$B$15,0)</f>
        <v>28863.0</v>
      </c>
      <c r="Q7">
        <f>ROUND(Q6*Assumptions!$B$15,0)</f>
        <v>29712.0</v>
      </c>
      <c r="R7">
        <f>ROUND(R6*Assumptions!$B$15,0)</f>
        <v>30561.0</v>
      </c>
      <c r="S7">
        <f>ROUND(S6*Assumptions!$B$15,0)</f>
        <v>31410.0</v>
      </c>
      <c r="T7">
        <f>ROUND(T6*Assumptions!$B$15,0)</f>
        <v>32259.0</v>
      </c>
      <c r="U7">
        <f>ROUND(U6*Assumptions!$B$15,0)</f>
        <v>33108.0</v>
      </c>
      <c r="V7">
        <f>ROUND(V6*Assumptions!$B$15,0)</f>
        <v>33957.0</v>
      </c>
      <c r="W7">
        <f>ROUND(W6*Assumptions!$B$15,0)</f>
        <v>34806.0</v>
      </c>
      <c r="X7">
        <f>ROUND(X6*Assumptions!$B$15,0)</f>
        <v>35655.0</v>
      </c>
      <c r="Y7">
        <f>ROUND(Y6*Assumptions!$B$15,0)</f>
        <v>36503.0</v>
      </c>
      <c r="Z7">
        <f>ROUND(Z6*Assumptions!$B$15,0)</f>
        <v>37352.0</v>
      </c>
    </row>
    <row r="8">
      <c r="A8" t="inlineStr">
        <is>
          <t>Total staff cost</t>
        </is>
      </c>
      <c r="C8">
        <f>C6+C7</f>
        <v>163952.0</v>
      </c>
      <c r="D8">
        <f>D6+D7</f>
        <v>171759.0</v>
      </c>
      <c r="E8">
        <f>E6+E7</f>
        <v>179567.0</v>
      </c>
      <c r="F8">
        <f>F6+F7</f>
        <v>187374.0</v>
      </c>
      <c r="G8">
        <f>G6+G7</f>
        <v>195181.0</v>
      </c>
      <c r="H8">
        <f>H6+H7</f>
        <v>202989.0</v>
      </c>
      <c r="I8">
        <f>I6+I7</f>
        <v>210796.0</v>
      </c>
      <c r="J8">
        <f>J6+J7</f>
        <v>218603.0</v>
      </c>
      <c r="K8">
        <f>K6+K7</f>
        <v>226411.0</v>
      </c>
      <c r="L8">
        <f>L6+L7</f>
        <v>234218.0</v>
      </c>
      <c r="M8">
        <f>M6+M7</f>
        <v>242024.0</v>
      </c>
      <c r="N8">
        <f>N6+N7</f>
        <v>249832.0</v>
      </c>
      <c r="O8">
        <f>O6+O7</f>
        <v>257639.0</v>
      </c>
      <c r="P8">
        <f>P6+P7</f>
        <v>265446.0</v>
      </c>
      <c r="Q8">
        <f>Q6+Q7</f>
        <v>273254.0</v>
      </c>
      <c r="R8">
        <f>R6+R7</f>
        <v>281061.0</v>
      </c>
      <c r="S8">
        <f>S6+S7</f>
        <v>288868.0</v>
      </c>
      <c r="T8">
        <f>T6+T7</f>
        <v>296676.0</v>
      </c>
      <c r="U8">
        <f>U6+U7</f>
        <v>304483.0</v>
      </c>
      <c r="V8">
        <f>V6+V7</f>
        <v>312290.0</v>
      </c>
      <c r="W8">
        <f>W6+W7</f>
        <v>320098.0</v>
      </c>
      <c r="X8">
        <f>X6+X7</f>
        <v>327905.0</v>
      </c>
      <c r="Y8">
        <f>Y6+Y7</f>
        <v>335711.0</v>
      </c>
      <c r="Z8">
        <f>Z6+Z7</f>
        <v>343519.0</v>
      </c>
    </row>
    <row r="10">
      <c r="A10" t="inlineStr">
        <is>
          <t>Cost of sales</t>
        </is>
      </c>
      <c r="C10">
        <f>ROUND(Revenue!C15*Assumptions!$B$11,0)</f>
        <v>144055.0</v>
      </c>
      <c r="D10">
        <f>ROUND(Revenue!D15*Assumptions!$B$11,0)</f>
        <v>148343.0</v>
      </c>
      <c r="E10">
        <f>ROUND(Revenue!E15*Assumptions!$B$11,0)</f>
        <v>152765.0</v>
      </c>
      <c r="F10">
        <f>ROUND(Revenue!F15*Assumptions!$B$11,0)</f>
        <v>157329.0</v>
      </c>
      <c r="G10">
        <f>ROUND(Revenue!G15*Assumptions!$B$11,0)</f>
        <v>162036.0</v>
      </c>
      <c r="H10">
        <f>ROUND(Revenue!H15*Assumptions!$B$11,0)</f>
        <v>166865.0</v>
      </c>
      <c r="I10">
        <f>ROUND(Revenue!I15*Assumptions!$B$11,0)</f>
        <v>171818.0</v>
      </c>
      <c r="J10">
        <f>ROUND(Revenue!J15*Assumptions!$B$11,0)</f>
        <v>176959.0</v>
      </c>
      <c r="K10">
        <f>ROUND(Revenue!K15*Assumptions!$B$11,0)</f>
        <v>182227.0</v>
      </c>
      <c r="L10">
        <f>ROUND(Revenue!L15*Assumptions!$B$11,0)</f>
        <v>187668.0</v>
      </c>
      <c r="M10">
        <f>ROUND(Revenue!M15*Assumptions!$B$11,0)</f>
        <v>193240.0</v>
      </c>
      <c r="N10">
        <f>ROUND(Revenue!N15*Assumptions!$B$11,0)</f>
        <v>198987.0</v>
      </c>
      <c r="O10">
        <f>ROUND(Revenue!O15*Assumptions!$B$11,0)</f>
        <v>204934.0</v>
      </c>
      <c r="P10">
        <f>ROUND(Revenue!P15*Assumptions!$B$11,0)</f>
        <v>211038.0</v>
      </c>
      <c r="Q10">
        <f>ROUND(Revenue!Q15*Assumptions!$B$11,0)</f>
        <v>217325.0</v>
      </c>
      <c r="R10">
        <f>ROUND(Revenue!R15*Assumptions!$B$11,0)</f>
        <v>223796.0</v>
      </c>
      <c r="S10">
        <f>ROUND(Revenue!S15*Assumptions!$B$11,0)</f>
        <v>230453.0</v>
      </c>
      <c r="T10">
        <f>ROUND(Revenue!T15*Assumptions!$B$11,0)</f>
        <v>237344.0</v>
      </c>
      <c r="U10">
        <f>ROUND(Revenue!U15*Assumptions!$B$11,0)</f>
        <v>244450.0</v>
      </c>
      <c r="V10">
        <f>ROUND(Revenue!V15*Assumptions!$B$11,0)</f>
        <v>251725.0</v>
      </c>
      <c r="W10">
        <f>ROUND(Revenue!W15*Assumptions!$B$11,0)</f>
        <v>259219.0</v>
      </c>
      <c r="X10">
        <f>ROUND(Revenue!X15*Assumptions!$B$11,0)</f>
        <v>266956.0</v>
      </c>
      <c r="Y10">
        <f>ROUND(Revenue!Y15*Assumptions!$B$11,0)</f>
        <v>274919.0</v>
      </c>
      <c r="Z10">
        <f>ROUND(Revenue!Z15*Assumptions!$B$11,0)</f>
        <v>283131.0</v>
      </c>
    </row>
    <row r="11">
      <c r="A11" t="inlineStr">
        <is>
          <t>Marketing</t>
        </is>
      </c>
      <c r="C11">
        <f>ROUND(Revenue!C15*Assumptions!$B$16,0)</f>
        <v>78621.0</v>
      </c>
      <c r="D11">
        <f>ROUND(Revenue!D15*Assumptions!$B$16,0)</f>
        <v>80961.0</v>
      </c>
      <c r="E11">
        <f>ROUND(Revenue!E15*Assumptions!$B$16,0)</f>
        <v>83375.0</v>
      </c>
      <c r="F11">
        <f>ROUND(Revenue!F15*Assumptions!$B$16,0)</f>
        <v>85865.0</v>
      </c>
      <c r="G11">
        <f>ROUND(Revenue!G15*Assumptions!$B$16,0)</f>
        <v>88434.0</v>
      </c>
      <c r="H11">
        <f>ROUND(Revenue!H15*Assumptions!$B$16,0)</f>
        <v>91070.0</v>
      </c>
      <c r="I11">
        <f>ROUND(Revenue!I15*Assumptions!$B$16,0)</f>
        <v>93773.0</v>
      </c>
      <c r="J11">
        <f>ROUND(Revenue!J15*Assumptions!$B$16,0)</f>
        <v>96579.0</v>
      </c>
      <c r="K11">
        <f>ROUND(Revenue!K15*Assumptions!$B$16,0)</f>
        <v>99454.0</v>
      </c>
      <c r="L11">
        <f>ROUND(Revenue!L15*Assumptions!$B$16,0)</f>
        <v>102424.0</v>
      </c>
      <c r="M11">
        <f>ROUND(Revenue!M15*Assumptions!$B$16,0)</f>
        <v>105465.0</v>
      </c>
      <c r="N11">
        <f>ROUND(Revenue!N15*Assumptions!$B$16,0)</f>
        <v>108601.0</v>
      </c>
      <c r="O11">
        <f>ROUND(Revenue!O15*Assumptions!$B$16,0)</f>
        <v>111847.0</v>
      </c>
      <c r="P11">
        <f>ROUND(Revenue!P15*Assumptions!$B$16,0)</f>
        <v>115178.0</v>
      </c>
      <c r="Q11">
        <f>ROUND(Revenue!Q15*Assumptions!$B$16,0)</f>
        <v>118609.0</v>
      </c>
      <c r="R11">
        <f>ROUND(Revenue!R15*Assumptions!$B$16,0)</f>
        <v>122141.0</v>
      </c>
      <c r="S11">
        <f>ROUND(Revenue!S15*Assumptions!$B$16,0)</f>
        <v>125774.0</v>
      </c>
      <c r="T11">
        <f>ROUND(Revenue!T15*Assumptions!$B$16,0)</f>
        <v>129535.0</v>
      </c>
      <c r="U11">
        <f>ROUND(Revenue!U15*Assumptions!$B$16,0)</f>
        <v>133413.0</v>
      </c>
      <c r="V11">
        <f>ROUND(Revenue!V15*Assumptions!$B$16,0)</f>
        <v>137384.0</v>
      </c>
      <c r="W11">
        <f>ROUND(Revenue!W15*Assumptions!$B$16,0)</f>
        <v>141474.0</v>
      </c>
      <c r="X11">
        <f>ROUND(Revenue!X15*Assumptions!$B$16,0)</f>
        <v>145696.0</v>
      </c>
      <c r="Y11">
        <f>ROUND(Revenue!Y15*Assumptions!$B$16,0)</f>
        <v>150042.0</v>
      </c>
      <c r="Z11">
        <f>ROUND(Revenue!Z15*Assumptions!$B$16,0)</f>
        <v>154525.0</v>
      </c>
    </row>
    <row r="12">
      <c r="A12" t="inlineStr">
        <is>
          <t>Overhead</t>
        </is>
      </c>
      <c r="C12">
        <f>ROUND(Assumptions!$B$17,0)</f>
        <v>33500.0</v>
      </c>
      <c r="D12">
        <f>ROUND(C12*(1+Assumptions!$B$18),0)</f>
        <v>33634.0</v>
      </c>
      <c r="E12">
        <f>ROUND(D12*(1+Assumptions!$B$18),0)</f>
        <v>33769.0</v>
      </c>
      <c r="F12">
        <f>ROUND(E12*(1+Assumptions!$B$18),0)</f>
        <v>33904.0</v>
      </c>
      <c r="G12">
        <f>ROUND(F12*(1+Assumptions!$B$18),0)</f>
        <v>34040.0</v>
      </c>
      <c r="H12">
        <f>ROUND(G12*(1+Assumptions!$B$18),0)</f>
        <v>34176.0</v>
      </c>
      <c r="I12">
        <f>ROUND(H12*(1+Assumptions!$B$18),0)</f>
        <v>34313.0</v>
      </c>
      <c r="J12">
        <f>ROUND(I12*(1+Assumptions!$B$18),0)</f>
        <v>34450.0</v>
      </c>
      <c r="K12">
        <f>ROUND(J12*(1+Assumptions!$B$18),0)</f>
        <v>34588.0</v>
      </c>
      <c r="L12">
        <f>ROUND(K12*(1+Assumptions!$B$18),0)</f>
        <v>34726.0</v>
      </c>
      <c r="M12">
        <f>ROUND(L12*(1+Assumptions!$B$18),0)</f>
        <v>34865.0</v>
      </c>
      <c r="N12">
        <f>ROUND(M12*(1+Assumptions!$B$18),0)</f>
        <v>35004.0</v>
      </c>
      <c r="O12">
        <f>ROUND(N12*(1+Assumptions!$B$18),0)</f>
        <v>35144.0</v>
      </c>
      <c r="P12">
        <f>ROUND(O12*(1+Assumptions!$B$18),0)</f>
        <v>35285.0</v>
      </c>
      <c r="Q12">
        <f>ROUND(P12*(1+Assumptions!$B$18),0)</f>
        <v>35426.0</v>
      </c>
      <c r="R12">
        <f>ROUND(Q12*(1+Assumptions!$B$18),0)</f>
        <v>35568.0</v>
      </c>
      <c r="S12">
        <f>ROUND(R12*(1+Assumptions!$B$18),0)</f>
        <v>35710.0</v>
      </c>
      <c r="T12">
        <f>ROUND(S12*(1+Assumptions!$B$18),0)</f>
        <v>35853.0</v>
      </c>
      <c r="U12">
        <f>ROUND(T12*(1+Assumptions!$B$18),0)</f>
        <v>35996.0</v>
      </c>
      <c r="V12">
        <f>ROUND(U12*(1+Assumptions!$B$18),0)</f>
        <v>36140.0</v>
      </c>
      <c r="W12">
        <f>ROUND(V12*(1+Assumptions!$B$18),0)</f>
        <v>36285.0</v>
      </c>
      <c r="X12">
        <f>ROUND(W12*(1+Assumptions!$B$18),0)</f>
        <v>36430.0</v>
      </c>
      <c r="Y12">
        <f>ROUND(X12*(1+Assumptions!$B$18),0)</f>
        <v>36576.0</v>
      </c>
      <c r="Z12">
        <f>ROUND(Y12*(1+Assumptions!$B$18),0)</f>
        <v>36722.0</v>
      </c>
    </row>
    <row r="14">
      <c r="A14" t="inlineStr">
        <is>
          <t>Total costs</t>
        </is>
      </c>
      <c r="C14">
        <f>C8+C10+C11+C12</f>
        <v>420128.0</v>
      </c>
      <c r="D14">
        <f>D8+D10+D11+D12</f>
        <v>434697.0</v>
      </c>
      <c r="E14">
        <f>E8+E10+E11+E12</f>
        <v>449476.0</v>
      </c>
      <c r="F14">
        <f>F8+F10+F11+F12</f>
        <v>464472.0</v>
      </c>
      <c r="G14">
        <f>G8+G10+G11+G12</f>
        <v>479691.0</v>
      </c>
      <c r="H14">
        <f>H8+H10+H11+H12</f>
        <v>495100.0</v>
      </c>
      <c r="I14">
        <f>I8+I10+I11+I12</f>
        <v>510700.0</v>
      </c>
      <c r="J14">
        <f>J8+J10+J11+J12</f>
        <v>526591.0</v>
      </c>
      <c r="K14">
        <f>K8+K10+K11+K12</f>
        <v>542680.0</v>
      </c>
      <c r="L14">
        <f>L8+L10+L11+L12</f>
        <v>559036.0</v>
      </c>
      <c r="M14">
        <f>M8+M10+M11+M12</f>
        <v>575594.0</v>
      </c>
      <c r="N14">
        <f>N8+N10+N11+N12</f>
        <v>592424.0</v>
      </c>
      <c r="O14">
        <f>O8+O10+O11+O12</f>
        <v>609564.0</v>
      </c>
      <c r="P14">
        <f>P8+P10+P11+P12</f>
        <v>626947.0</v>
      </c>
      <c r="Q14">
        <f>Q8+Q10+Q11+Q12</f>
        <v>644614.0</v>
      </c>
      <c r="R14">
        <f>R8+R10+R11+R12</f>
        <v>662566.0</v>
      </c>
      <c r="S14">
        <f>S8+S10+S11+S12</f>
        <v>680805.0</v>
      </c>
      <c r="T14">
        <f>T8+T10+T11+T12</f>
        <v>699408.0</v>
      </c>
      <c r="U14">
        <f>U8+U10+U11+U12</f>
        <v>718342.0</v>
      </c>
      <c r="V14">
        <f>V8+V10+V11+V12</f>
        <v>737539.0</v>
      </c>
      <c r="W14">
        <f>W8+W10+W11+W12</f>
        <v>757076.0</v>
      </c>
      <c r="X14">
        <f>X8+X10+X11+X12</f>
        <v>776987.0</v>
      </c>
      <c r="Y14">
        <f>Y8+Y10+Y11+Y12</f>
        <v>797248.0</v>
      </c>
      <c r="Z14">
        <f>Z8+Z10+Z11+Z12</f>
        <v>817897.0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624966.0</v>
      </c>
      <c r="D5">
        <f>Revenue!D15</f>
        <v>643569.0</v>
      </c>
      <c r="E5">
        <f>Revenue!E15</f>
        <v>662755.0</v>
      </c>
      <c r="F5">
        <f>Revenue!F15</f>
        <v>682555.0</v>
      </c>
      <c r="G5">
        <f>Revenue!G15</f>
        <v>702975.0</v>
      </c>
      <c r="H5">
        <f>Revenue!H15</f>
        <v>723927.0</v>
      </c>
      <c r="I5">
        <f>Revenue!I15</f>
        <v>745416.0</v>
      </c>
      <c r="J5">
        <f>Revenue!J15</f>
        <v>767719.0</v>
      </c>
      <c r="K5">
        <f>Revenue!K15</f>
        <v>790574.0</v>
      </c>
      <c r="L5">
        <f>Revenue!L15</f>
        <v>814180.0</v>
      </c>
      <c r="M5">
        <f>Revenue!M15</f>
        <v>838351.0</v>
      </c>
      <c r="N5">
        <f>Revenue!N15</f>
        <v>863285.0</v>
      </c>
      <c r="O5">
        <f>Revenue!O15</f>
        <v>889083.0</v>
      </c>
      <c r="P5">
        <f>Revenue!P15</f>
        <v>915566.0</v>
      </c>
      <c r="Q5">
        <f>Revenue!Q15</f>
        <v>942841.0</v>
      </c>
      <c r="R5">
        <f>Revenue!R15</f>
        <v>970915.0</v>
      </c>
      <c r="S5">
        <f>Revenue!S15</f>
        <v>999795.0</v>
      </c>
      <c r="T5">
        <f>Revenue!T15</f>
        <v>1029693.0</v>
      </c>
      <c r="U5">
        <f>Revenue!U15</f>
        <v>1060520.0</v>
      </c>
      <c r="V5">
        <f>Revenue!V15</f>
        <v>1092084.0</v>
      </c>
      <c r="W5">
        <f>Revenue!W15</f>
        <v>1124593.0</v>
      </c>
      <c r="X5">
        <f>Revenue!X15</f>
        <v>1158159.0</v>
      </c>
      <c r="Y5">
        <f>Revenue!Y15</f>
        <v>1192706.0</v>
      </c>
      <c r="Z5">
        <f>Revenue!Z15</f>
        <v>1228336.0</v>
      </c>
      <c r="AA5">
        <f>SUM(C5:Z5)</f>
        <v>21464563.0</v>
      </c>
    </row>
    <row r="6">
      <c r="A6" t="inlineStr">
        <is>
          <t>Cost of sales</t>
        </is>
      </c>
      <c r="C6">
        <f>-Costs!C10</f>
        <v>-144055.0</v>
      </c>
      <c r="D6">
        <f>-Costs!D10</f>
        <v>-148343.0</v>
      </c>
      <c r="E6">
        <f>-Costs!E10</f>
        <v>-152765.0</v>
      </c>
      <c r="F6">
        <f>-Costs!F10</f>
        <v>-157329.0</v>
      </c>
      <c r="G6">
        <f>-Costs!G10</f>
        <v>-162036.0</v>
      </c>
      <c r="H6">
        <f>-Costs!H10</f>
        <v>-166865.0</v>
      </c>
      <c r="I6">
        <f>-Costs!I10</f>
        <v>-171818.0</v>
      </c>
      <c r="J6">
        <f>-Costs!J10</f>
        <v>-176959.0</v>
      </c>
      <c r="K6">
        <f>-Costs!K10</f>
        <v>-182227.0</v>
      </c>
      <c r="L6">
        <f>-Costs!L10</f>
        <v>-187668.0</v>
      </c>
      <c r="M6">
        <f>-Costs!M10</f>
        <v>-193240.0</v>
      </c>
      <c r="N6">
        <f>-Costs!N10</f>
        <v>-198987.0</v>
      </c>
      <c r="O6">
        <f>-Costs!O10</f>
        <v>-204934.0</v>
      </c>
      <c r="P6">
        <f>-Costs!P10</f>
        <v>-211038.0</v>
      </c>
      <c r="Q6">
        <f>-Costs!Q10</f>
        <v>-217325.0</v>
      </c>
      <c r="R6">
        <f>-Costs!R10</f>
        <v>-223796.0</v>
      </c>
      <c r="S6">
        <f>-Costs!S10</f>
        <v>-230453.0</v>
      </c>
      <c r="T6">
        <f>-Costs!T10</f>
        <v>-237344.0</v>
      </c>
      <c r="U6">
        <f>-Costs!U10</f>
        <v>-244450.0</v>
      </c>
      <c r="V6">
        <f>-Costs!V10</f>
        <v>-251725.0</v>
      </c>
      <c r="W6">
        <f>-Costs!W10</f>
        <v>-259219.0</v>
      </c>
      <c r="X6">
        <f>-Costs!X10</f>
        <v>-266956.0</v>
      </c>
      <c r="Y6">
        <f>-Costs!Y10</f>
        <v>-274919.0</v>
      </c>
      <c r="Z6">
        <f>-Costs!Z10</f>
        <v>-283131.0</v>
      </c>
      <c r="AA6">
        <f>SUM(C6:Z6)</f>
        <v>-4947582.0</v>
      </c>
    </row>
    <row r="7">
      <c r="A7" t="inlineStr">
        <is>
          <t>Gross profit</t>
        </is>
      </c>
      <c r="C7">
        <f>C5+C6</f>
        <v>480911.0</v>
      </c>
      <c r="D7">
        <f>D5+D6</f>
        <v>495226.0</v>
      </c>
      <c r="E7">
        <f>E5+E6</f>
        <v>509990.0</v>
      </c>
      <c r="F7">
        <f>F5+F6</f>
        <v>525226.0</v>
      </c>
      <c r="G7">
        <f>G5+G6</f>
        <v>540939.0</v>
      </c>
      <c r="H7">
        <f>H5+H6</f>
        <v>557062.0</v>
      </c>
      <c r="I7">
        <f>I5+I6</f>
        <v>573598.0</v>
      </c>
      <c r="J7">
        <f>J5+J6</f>
        <v>590760.0</v>
      </c>
      <c r="K7">
        <f>K5+K6</f>
        <v>608347.0</v>
      </c>
      <c r="L7">
        <f>L5+L6</f>
        <v>626512.0</v>
      </c>
      <c r="M7">
        <f>M5+M6</f>
        <v>645111.0</v>
      </c>
      <c r="N7">
        <f>N5+N6</f>
        <v>664298.0</v>
      </c>
      <c r="O7">
        <f>O5+O6</f>
        <v>684149.0</v>
      </c>
      <c r="P7">
        <f>P5+P6</f>
        <v>704528.0</v>
      </c>
      <c r="Q7">
        <f>Q5+Q6</f>
        <v>725516.0</v>
      </c>
      <c r="R7">
        <f>R5+R6</f>
        <v>747119.0</v>
      </c>
      <c r="S7">
        <f>S5+S6</f>
        <v>769342.0</v>
      </c>
      <c r="T7">
        <f>T5+T6</f>
        <v>792349.0</v>
      </c>
      <c r="U7">
        <f>U5+U6</f>
        <v>816070.0</v>
      </c>
      <c r="V7">
        <f>V5+V6</f>
        <v>840359.0</v>
      </c>
      <c r="W7">
        <f>W5+W6</f>
        <v>865374.0</v>
      </c>
      <c r="X7">
        <f>X5+X6</f>
        <v>891203.0</v>
      </c>
      <c r="Y7">
        <f>Y5+Y6</f>
        <v>917787.0</v>
      </c>
      <c r="Z7">
        <f>Z5+Z6</f>
        <v>945205.0</v>
      </c>
      <c r="AA7">
        <f>SUM(C7:Z7)</f>
        <v>16516981.0</v>
      </c>
    </row>
    <row r="8">
      <c r="A8" t="inlineStr">
        <is>
          <t>Gross margin</t>
        </is>
      </c>
      <c r="C8">
        <f>IF(C5=0,0,ROUND(C7/C5,4))</f>
        <v>0.7695</v>
      </c>
      <c r="D8">
        <f>IF(D5=0,0,ROUND(D7/D5,4))</f>
        <v>0.7695</v>
      </c>
      <c r="E8">
        <f>IF(E5=0,0,ROUND(E7/E5,4))</f>
        <v>0.7695</v>
      </c>
      <c r="F8">
        <f>IF(F5=0,0,ROUND(F7/F5,4))</f>
        <v>0.7695</v>
      </c>
      <c r="G8">
        <f>IF(G5=0,0,ROUND(G7/G5,4))</f>
        <v>0.7695</v>
      </c>
      <c r="H8">
        <f>IF(H5=0,0,ROUND(H7/H5,4))</f>
        <v>0.7695</v>
      </c>
      <c r="I8">
        <f>IF(I5=0,0,ROUND(I7/I5,4))</f>
        <v>0.7695</v>
      </c>
      <c r="J8">
        <f>IF(J5=0,0,ROUND(J7/J5,4))</f>
        <v>0.7695</v>
      </c>
      <c r="K8">
        <f>IF(K5=0,0,ROUND(K7/K5,4))</f>
        <v>0.7695</v>
      </c>
      <c r="L8">
        <f>IF(L5=0,0,ROUND(L7/L5,4))</f>
        <v>0.7695</v>
      </c>
      <c r="M8">
        <f>IF(M5=0,0,ROUND(M7/M5,4))</f>
        <v>0.7695</v>
      </c>
      <c r="N8">
        <f>IF(N5=0,0,ROUND(N7/N5,4))</f>
        <v>0.7695</v>
      </c>
      <c r="O8">
        <f>IF(O5=0,0,ROUND(O7/O5,4))</f>
        <v>0.7695</v>
      </c>
      <c r="P8">
        <f>IF(P5=0,0,ROUND(P7/P5,4))</f>
        <v>0.7695</v>
      </c>
      <c r="Q8">
        <f>IF(Q5=0,0,ROUND(Q7/Q5,4))</f>
        <v>0.7695</v>
      </c>
      <c r="R8">
        <f>IF(R5=0,0,ROUND(R7/R5,4))</f>
        <v>0.7695</v>
      </c>
      <c r="S8">
        <f>IF(S5=0,0,ROUND(S7/S5,4))</f>
        <v>0.7695</v>
      </c>
      <c r="T8">
        <f>IF(T5=0,0,ROUND(T7/T5,4))</f>
        <v>0.7695</v>
      </c>
      <c r="U8">
        <f>IF(U5=0,0,ROUND(U7/U5,4))</f>
        <v>0.7695</v>
      </c>
      <c r="V8">
        <f>IF(V5=0,0,ROUND(V7/V5,4))</f>
        <v>0.7695</v>
      </c>
      <c r="W8">
        <f>IF(W5=0,0,ROUND(W7/W5,4))</f>
        <v>0.7695</v>
      </c>
      <c r="X8">
        <f>IF(X5=0,0,ROUND(X7/X5,4))</f>
        <v>0.7695</v>
      </c>
      <c r="Y8">
        <f>IF(Y5=0,0,ROUND(Y7/Y5,4))</f>
        <v>0.7695</v>
      </c>
      <c r="Z8">
        <f>IF(Z5=0,0,ROUND(Z7/Z5,4))</f>
        <v>0.7695</v>
      </c>
    </row>
    <row r="10">
      <c r="A10" t="inlineStr">
        <is>
          <t>Staff costs</t>
        </is>
      </c>
      <c r="C10">
        <f>-Costs!C8</f>
        <v>-163952.0</v>
      </c>
      <c r="D10">
        <f>-Costs!D8</f>
        <v>-171759.0</v>
      </c>
      <c r="E10">
        <f>-Costs!E8</f>
        <v>-179567.0</v>
      </c>
      <c r="F10">
        <f>-Costs!F8</f>
        <v>-187374.0</v>
      </c>
      <c r="G10">
        <f>-Costs!G8</f>
        <v>-195181.0</v>
      </c>
      <c r="H10">
        <f>-Costs!H8</f>
        <v>-202989.0</v>
      </c>
      <c r="I10">
        <f>-Costs!I8</f>
        <v>-210796.0</v>
      </c>
      <c r="J10">
        <f>-Costs!J8</f>
        <v>-218603.0</v>
      </c>
      <c r="K10">
        <f>-Costs!K8</f>
        <v>-226411.0</v>
      </c>
      <c r="L10">
        <f>-Costs!L8</f>
        <v>-234218.0</v>
      </c>
      <c r="M10">
        <f>-Costs!M8</f>
        <v>-242024.0</v>
      </c>
      <c r="N10">
        <f>-Costs!N8</f>
        <v>-249832.0</v>
      </c>
      <c r="O10">
        <f>-Costs!O8</f>
        <v>-257639.0</v>
      </c>
      <c r="P10">
        <f>-Costs!P8</f>
        <v>-265446.0</v>
      </c>
      <c r="Q10">
        <f>-Costs!Q8</f>
        <v>-273254.0</v>
      </c>
      <c r="R10">
        <f>-Costs!R8</f>
        <v>-281061.0</v>
      </c>
      <c r="S10">
        <f>-Costs!S8</f>
        <v>-288868.0</v>
      </c>
      <c r="T10">
        <f>-Costs!T8</f>
        <v>-296676.0</v>
      </c>
      <c r="U10">
        <f>-Costs!U8</f>
        <v>-304483.0</v>
      </c>
      <c r="V10">
        <f>-Costs!V8</f>
        <v>-312290.0</v>
      </c>
      <c r="W10">
        <f>-Costs!W8</f>
        <v>-320098.0</v>
      </c>
      <c r="X10">
        <f>-Costs!X8</f>
        <v>-327905.0</v>
      </c>
      <c r="Y10">
        <f>-Costs!Y8</f>
        <v>-335711.0</v>
      </c>
      <c r="Z10">
        <f>-Costs!Z8</f>
        <v>-343519.0</v>
      </c>
      <c r="AA10">
        <f>SUM(C10:Z10)</f>
        <v>-6089656.0</v>
      </c>
    </row>
    <row r="11">
      <c r="A11" t="inlineStr">
        <is>
          <t>Marketing</t>
        </is>
      </c>
      <c r="C11">
        <f>-Costs!C11</f>
        <v>-78621.0</v>
      </c>
      <c r="D11">
        <f>-Costs!D11</f>
        <v>-80961.0</v>
      </c>
      <c r="E11">
        <f>-Costs!E11</f>
        <v>-83375.0</v>
      </c>
      <c r="F11">
        <f>-Costs!F11</f>
        <v>-85865.0</v>
      </c>
      <c r="G11">
        <f>-Costs!G11</f>
        <v>-88434.0</v>
      </c>
      <c r="H11">
        <f>-Costs!H11</f>
        <v>-91070.0</v>
      </c>
      <c r="I11">
        <f>-Costs!I11</f>
        <v>-93773.0</v>
      </c>
      <c r="J11">
        <f>-Costs!J11</f>
        <v>-96579.0</v>
      </c>
      <c r="K11">
        <f>-Costs!K11</f>
        <v>-99454.0</v>
      </c>
      <c r="L11">
        <f>-Costs!L11</f>
        <v>-102424.0</v>
      </c>
      <c r="M11">
        <f>-Costs!M11</f>
        <v>-105465.0</v>
      </c>
      <c r="N11">
        <f>-Costs!N11</f>
        <v>-108601.0</v>
      </c>
      <c r="O11">
        <f>-Costs!O11</f>
        <v>-111847.0</v>
      </c>
      <c r="P11">
        <f>-Costs!P11</f>
        <v>-115178.0</v>
      </c>
      <c r="Q11">
        <f>-Costs!Q11</f>
        <v>-118609.0</v>
      </c>
      <c r="R11">
        <f>-Costs!R11</f>
        <v>-122141.0</v>
      </c>
      <c r="S11">
        <f>-Costs!S11</f>
        <v>-125774.0</v>
      </c>
      <c r="T11">
        <f>-Costs!T11</f>
        <v>-129535.0</v>
      </c>
      <c r="U11">
        <f>-Costs!U11</f>
        <v>-133413.0</v>
      </c>
      <c r="V11">
        <f>-Costs!V11</f>
        <v>-137384.0</v>
      </c>
      <c r="W11">
        <f>-Costs!W11</f>
        <v>-141474.0</v>
      </c>
      <c r="X11">
        <f>-Costs!X11</f>
        <v>-145696.0</v>
      </c>
      <c r="Y11">
        <f>-Costs!Y11</f>
        <v>-150042.0</v>
      </c>
      <c r="Z11">
        <f>-Costs!Z11</f>
        <v>-154525.0</v>
      </c>
      <c r="AA11">
        <f>SUM(C11:Z11)</f>
        <v>-2700240.0</v>
      </c>
    </row>
    <row r="12">
      <c r="A12" t="inlineStr">
        <is>
          <t>Overhead</t>
        </is>
      </c>
      <c r="C12">
        <f>-Costs!C12</f>
        <v>-33500.0</v>
      </c>
      <c r="D12">
        <f>-Costs!D12</f>
        <v>-33634.0</v>
      </c>
      <c r="E12">
        <f>-Costs!E12</f>
        <v>-33769.0</v>
      </c>
      <c r="F12">
        <f>-Costs!F12</f>
        <v>-33904.0</v>
      </c>
      <c r="G12">
        <f>-Costs!G12</f>
        <v>-34040.0</v>
      </c>
      <c r="H12">
        <f>-Costs!H12</f>
        <v>-34176.0</v>
      </c>
      <c r="I12">
        <f>-Costs!I12</f>
        <v>-34313.0</v>
      </c>
      <c r="J12">
        <f>-Costs!J12</f>
        <v>-34450.0</v>
      </c>
      <c r="K12">
        <f>-Costs!K12</f>
        <v>-34588.0</v>
      </c>
      <c r="L12">
        <f>-Costs!L12</f>
        <v>-34726.0</v>
      </c>
      <c r="M12">
        <f>-Costs!M12</f>
        <v>-34865.0</v>
      </c>
      <c r="N12">
        <f>-Costs!N12</f>
        <v>-35004.0</v>
      </c>
      <c r="O12">
        <f>-Costs!O12</f>
        <v>-35144.0</v>
      </c>
      <c r="P12">
        <f>-Costs!P12</f>
        <v>-35285.0</v>
      </c>
      <c r="Q12">
        <f>-Costs!Q12</f>
        <v>-35426.0</v>
      </c>
      <c r="R12">
        <f>-Costs!R12</f>
        <v>-35568.0</v>
      </c>
      <c r="S12">
        <f>-Costs!S12</f>
        <v>-35710.0</v>
      </c>
      <c r="T12">
        <f>-Costs!T12</f>
        <v>-35853.0</v>
      </c>
      <c r="U12">
        <f>-Costs!U12</f>
        <v>-35996.0</v>
      </c>
      <c r="V12">
        <f>-Costs!V12</f>
        <v>-36140.0</v>
      </c>
      <c r="W12">
        <f>-Costs!W12</f>
        <v>-36285.0</v>
      </c>
      <c r="X12">
        <f>-Costs!X12</f>
        <v>-36430.0</v>
      </c>
      <c r="Y12">
        <f>-Costs!Y12</f>
        <v>-36576.0</v>
      </c>
      <c r="Z12">
        <f>-Costs!Z12</f>
        <v>-36722.0</v>
      </c>
      <c r="AA12">
        <f>SUM(C12:Z12)</f>
        <v>-842104.0</v>
      </c>
    </row>
    <row r="13">
      <c r="A13" t="inlineStr">
        <is>
          <t>Total operating costs</t>
        </is>
      </c>
      <c r="C13">
        <f>C10+C11+C12</f>
        <v>-276073.0</v>
      </c>
      <c r="D13">
        <f>D10+D11+D12</f>
        <v>-286354.0</v>
      </c>
      <c r="E13">
        <f>E10+E11+E12</f>
        <v>-296711.0</v>
      </c>
      <c r="F13">
        <f>F10+F11+F12</f>
        <v>-307143.0</v>
      </c>
      <c r="G13">
        <f>G10+G11+G12</f>
        <v>-317655.0</v>
      </c>
      <c r="H13">
        <f>H10+H11+H12</f>
        <v>-328235.0</v>
      </c>
      <c r="I13">
        <f>I10+I11+I12</f>
        <v>-338882.0</v>
      </c>
      <c r="J13">
        <f>J10+J11+J12</f>
        <v>-349632.0</v>
      </c>
      <c r="K13">
        <f>K10+K11+K12</f>
        <v>-360453.0</v>
      </c>
      <c r="L13">
        <f>L10+L11+L12</f>
        <v>-371368.0</v>
      </c>
      <c r="M13">
        <f>M10+M11+M12</f>
        <v>-382354.0</v>
      </c>
      <c r="N13">
        <f>N10+N11+N12</f>
        <v>-393437.0</v>
      </c>
      <c r="O13">
        <f>O10+O11+O12</f>
        <v>-404630.0</v>
      </c>
      <c r="P13">
        <f>P10+P11+P12</f>
        <v>-415909.0</v>
      </c>
      <c r="Q13">
        <f>Q10+Q11+Q12</f>
        <v>-427289.0</v>
      </c>
      <c r="R13">
        <f>R10+R11+R12</f>
        <v>-438770.0</v>
      </c>
      <c r="S13">
        <f>S10+S11+S12</f>
        <v>-450352.0</v>
      </c>
      <c r="T13">
        <f>T10+T11+T12</f>
        <v>-462064.0</v>
      </c>
      <c r="U13">
        <f>U10+U11+U12</f>
        <v>-473892.0</v>
      </c>
      <c r="V13">
        <f>V10+V11+V12</f>
        <v>-485814.0</v>
      </c>
      <c r="W13">
        <f>W10+W11+W12</f>
        <v>-497857.0</v>
      </c>
      <c r="X13">
        <f>X10+X11+X12</f>
        <v>-510031.0</v>
      </c>
      <c r="Y13">
        <f>Y10+Y11+Y12</f>
        <v>-522329.0</v>
      </c>
      <c r="Z13">
        <f>Z10+Z11+Z12</f>
        <v>-534766.0</v>
      </c>
      <c r="AA13">
        <f>SUM(C13:Z13)</f>
        <v>-9632000.0</v>
      </c>
    </row>
    <row r="15">
      <c r="A15" t="inlineStr">
        <is>
          <t>EBITDA</t>
        </is>
      </c>
      <c r="C15">
        <f>C7+C13</f>
        <v>204838.0</v>
      </c>
      <c r="D15">
        <f>D7+D13</f>
        <v>208872.0</v>
      </c>
      <c r="E15">
        <f>E7+E13</f>
        <v>213279.0</v>
      </c>
      <c r="F15">
        <f>F7+F13</f>
        <v>218083.0</v>
      </c>
      <c r="G15">
        <f>G7+G13</f>
        <v>223284.0</v>
      </c>
      <c r="H15">
        <f>H7+H13</f>
        <v>228827.0</v>
      </c>
      <c r="I15">
        <f>I7+I13</f>
        <v>234716.0</v>
      </c>
      <c r="J15">
        <f>J7+J13</f>
        <v>241128.0</v>
      </c>
      <c r="K15">
        <f>K7+K13</f>
        <v>247894.0</v>
      </c>
      <c r="L15">
        <f>L7+L13</f>
        <v>255144.0</v>
      </c>
      <c r="M15">
        <f>M7+M13</f>
        <v>262757.0</v>
      </c>
      <c r="N15">
        <f>N7+N13</f>
        <v>270861.0</v>
      </c>
      <c r="O15">
        <f>O7+O13</f>
        <v>279519.0</v>
      </c>
      <c r="P15">
        <f>P7+P13</f>
        <v>288619.0</v>
      </c>
      <c r="Q15">
        <f>Q7+Q13</f>
        <v>298227.0</v>
      </c>
      <c r="R15">
        <f>R7+R13</f>
        <v>308349.0</v>
      </c>
      <c r="S15">
        <f>S7+S13</f>
        <v>318990.0</v>
      </c>
      <c r="T15">
        <f>T7+T13</f>
        <v>330285.0</v>
      </c>
      <c r="U15">
        <f>U7+U13</f>
        <v>342178.0</v>
      </c>
      <c r="V15">
        <f>V7+V13</f>
        <v>354545.0</v>
      </c>
      <c r="W15">
        <f>W7+W13</f>
        <v>367517.0</v>
      </c>
      <c r="X15">
        <f>X7+X13</f>
        <v>381172.0</v>
      </c>
      <c r="Y15">
        <f>Y7+Y13</f>
        <v>395458.0</v>
      </c>
      <c r="Z15">
        <f>Z7+Z13</f>
        <v>410439.0</v>
      </c>
      <c r="AA15">
        <f>SUM(C15:Z15)</f>
        <v>6884981.0</v>
      </c>
    </row>
    <row r="16">
      <c r="A16" t="inlineStr">
        <is>
          <t>EBITDA margin</t>
        </is>
      </c>
      <c r="C16">
        <f>IF(C5=0,0,ROUND(C15/C5,4))</f>
        <v>0.3278</v>
      </c>
      <c r="D16">
        <f>IF(D5=0,0,ROUND(D15/D5,4))</f>
        <v>0.3246</v>
      </c>
      <c r="E16">
        <f>IF(E5=0,0,ROUND(E15/E5,4))</f>
        <v>0.3218</v>
      </c>
      <c r="F16">
        <f>IF(F5=0,0,ROUND(F15/F5,4))</f>
        <v>0.3195</v>
      </c>
      <c r="G16">
        <f>IF(G5=0,0,ROUND(G15/G5,4))</f>
        <v>0.3176</v>
      </c>
      <c r="H16">
        <f>IF(H5=0,0,ROUND(H15/H5,4))</f>
        <v>0.3161</v>
      </c>
      <c r="I16">
        <f>IF(I5=0,0,ROUND(I15/I5,4))</f>
        <v>0.3149</v>
      </c>
      <c r="J16">
        <f>IF(J5=0,0,ROUND(J15/J5,4))</f>
        <v>0.3141</v>
      </c>
      <c r="K16">
        <f>IF(K5=0,0,ROUND(K15/K5,4))</f>
        <v>0.3136</v>
      </c>
      <c r="L16">
        <f>IF(L5=0,0,ROUND(L15/L5,4))</f>
        <v>0.3134</v>
      </c>
      <c r="M16">
        <f>IF(M5=0,0,ROUND(M15/M5,4))</f>
        <v>0.3134</v>
      </c>
      <c r="N16">
        <f>IF(N5=0,0,ROUND(N15/N5,4))</f>
        <v>0.3138</v>
      </c>
      <c r="O16">
        <f>IF(O5=0,0,ROUND(O15/O5,4))</f>
        <v>0.3144</v>
      </c>
      <c r="P16">
        <f>IF(P5=0,0,ROUND(P15/P5,4))</f>
        <v>0.3152</v>
      </c>
      <c r="Q16">
        <f>IF(Q5=0,0,ROUND(Q15/Q5,4))</f>
        <v>0.3163</v>
      </c>
      <c r="R16">
        <f>IF(R5=0,0,ROUND(R15/R5,4))</f>
        <v>0.3176</v>
      </c>
      <c r="S16">
        <f>IF(S5=0,0,ROUND(S15/S5,4))</f>
        <v>0.3191</v>
      </c>
      <c r="T16">
        <f>IF(T5=0,0,ROUND(T15/T5,4))</f>
        <v>0.3208</v>
      </c>
      <c r="U16">
        <f>IF(U5=0,0,ROUND(U15/U5,4))</f>
        <v>0.3227</v>
      </c>
      <c r="V16">
        <f>IF(V5=0,0,ROUND(V15/V5,4))</f>
        <v>0.3246</v>
      </c>
      <c r="W16">
        <f>IF(W5=0,0,ROUND(W15/W5,4))</f>
        <v>0.3268</v>
      </c>
      <c r="X16">
        <f>IF(X5=0,0,ROUND(X15/X5,4))</f>
        <v>0.3291</v>
      </c>
      <c r="Y16">
        <f>IF(Y5=0,0,ROUND(Y15/Y5,4))</f>
        <v>0.3316</v>
      </c>
      <c r="Z16">
        <f>IF(Z5=0,0,ROUND(Z15/Z5,4))</f>
        <v>0.3341</v>
      </c>
    </row>
    <row r="18">
      <c r="A18" t="inlineStr">
        <is>
          <t>Cumulative EBITDA</t>
        </is>
      </c>
      <c r="C18">
        <f>C15</f>
        <v>204838.0</v>
      </c>
      <c r="D18">
        <f>C18+D15</f>
        <v>413710.0</v>
      </c>
      <c r="E18">
        <f>D18+E15</f>
        <v>626989.0</v>
      </c>
      <c r="F18">
        <f>E18+F15</f>
        <v>845072.0</v>
      </c>
      <c r="G18">
        <f>F18+G15</f>
        <v>1068356.0</v>
      </c>
      <c r="H18">
        <f>G18+H15</f>
        <v>1297183.0</v>
      </c>
      <c r="I18">
        <f>H18+I15</f>
        <v>1531899.0</v>
      </c>
      <c r="J18">
        <f>I18+J15</f>
        <v>1773027.0</v>
      </c>
      <c r="K18">
        <f>J18+K15</f>
        <v>2020921.0</v>
      </c>
      <c r="L18">
        <f>K18+L15</f>
        <v>2276065.0</v>
      </c>
      <c r="M18">
        <f>L18+M15</f>
        <v>2538822.0</v>
      </c>
      <c r="N18">
        <f>M18+N15</f>
        <v>2809683.0</v>
      </c>
      <c r="O18">
        <f>N18+O15</f>
        <v>3089202.0</v>
      </c>
      <c r="P18">
        <f>O18+P15</f>
        <v>3377821.0</v>
      </c>
      <c r="Q18">
        <f>P18+Q15</f>
        <v>3676048.0</v>
      </c>
      <c r="R18">
        <f>Q18+R15</f>
        <v>3984397.0</v>
      </c>
      <c r="S18">
        <f>R18+S15</f>
        <v>4303387.0</v>
      </c>
      <c r="T18">
        <f>S18+T15</f>
        <v>4633672.0</v>
      </c>
      <c r="U18">
        <f>T18+U15</f>
        <v>4975850.0</v>
      </c>
      <c r="V18">
        <f>U18+V15</f>
        <v>5330395.0</v>
      </c>
      <c r="W18">
        <f>V18+W15</f>
        <v>5697912.0</v>
      </c>
      <c r="X18">
        <f>W18+X15</f>
        <v>6079084.0</v>
      </c>
      <c r="Y18">
        <f>X18+Y15</f>
        <v>6474542.0</v>
      </c>
      <c r="Z18">
        <f>Y18+Z15</f>
        <v>6884981.0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21464563.0</v>
      </c>
    </row>
    <row r="4">
      <c r="A4" t="inlineStr">
        <is>
          <t>Total EBITDA</t>
        </is>
      </c>
      <c r="B4">
        <f>'P&amp;L'!AA15</f>
        <v>6884981.0</v>
      </c>
    </row>
    <row r="5">
      <c r="A5" t="inlineStr">
        <is>
          <t>Exit run rate EBITDA</t>
        </is>
      </c>
      <c r="B5">
        <f>SUM('P&amp;L'!O15:Z15)</f>
        <v>4075298.0</v>
      </c>
    </row>
    <row r="6">
      <c r="A6" t="inlineStr">
        <is>
          <t>EBITDA multiple</t>
        </is>
      </c>
      <c r="B6">
        <f>Assumptions!$B$21</f>
        <v>8.3</v>
      </c>
    </row>
    <row r="7">
      <c r="A7" t="inlineStr">
        <is>
          <t>Enterprise value</t>
        </is>
      </c>
      <c r="B7">
        <f>ROUND(B5*B6,0)</f>
        <v>33824973.0</v>
      </c>
    </row>
    <row r="8">
      <c r="A8" t="inlineStr">
        <is>
          <t>Net debt</t>
        </is>
      </c>
      <c r="B8">
        <f>Assumptions!$B$22</f>
        <v>2350000.0</v>
      </c>
    </row>
    <row r="9">
      <c r="A9" t="inlineStr">
        <is>
          <t>Equity value</t>
        </is>
      </c>
      <c r="B9">
        <f>B7-B8</f>
        <v>31474973.0</v>
      </c>
    </row>
    <row r="11">
      <c r="A11" t="inlineStr">
        <is>
          <t>Average monthly EBITDA</t>
        </is>
      </c>
      <c r="B11">
        <f>AVERAGE('P&amp;L'!C15:Z15)</f>
        <v>286874.2083333333</v>
      </c>
    </row>
    <row r="12">
      <c r="A12" t="inlineStr">
        <is>
          <t>Best month</t>
        </is>
      </c>
      <c r="B12">
        <f>MAX('P&amp;L'!C15:Z15)</f>
        <v>410439.0</v>
      </c>
    </row>
    <row r="13">
      <c r="A13" t="inlineStr">
        <is>
          <t>Worst month</t>
        </is>
      </c>
      <c r="B13">
        <f>MIN('P&amp;L'!C15:Z15)</f>
        <v>204838.0</v>
      </c>
    </row>
    <row r="14">
      <c r="A14" t="inlineStr">
        <is>
          <t>Sum of positive months</t>
        </is>
      </c>
      <c r="B14">
        <f>SUMIF('P&amp;L'!C15:Z15,"&gt;0")</f>
        <v>6884981.0</v>
      </c>
    </row>
    <row r="15">
      <c r="A15" t="inlineStr">
        <is>
          <t>Best to worst swing</t>
        </is>
      </c>
      <c r="B15">
        <f>ABS(B12-B13)</f>
        <v>205601.0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